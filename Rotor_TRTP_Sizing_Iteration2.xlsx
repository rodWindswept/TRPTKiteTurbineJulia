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kW Rotor" sheetId="1" r:id="rId4"/>
    <sheet state="visible" name="7kW Rotor" sheetId="2" r:id="rId5"/>
    <sheet state="visible" name="12kW Rotor" sheetId="3" r:id="rId6"/>
  </sheets>
  <definedNames/>
  <calcPr/>
  <extLst>
    <ext uri="GoogleSheetsCustomDataVersion2">
      <go:sheetsCustomData xmlns:go="http://customooxmlschemas.google.com/" r:id="rId7" roundtripDataChecksum="Xa5n31NgQmzGejtzazxPbUul5uabowQS91mm0PJ2bIs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59">
      <text>
        <t xml:space="preserve">======
ID#AAAA043Cih0
tc={3B21BD8F-73FC-4FE3-8C33-D270E9D35495}    (2023-07-07 22:56:57)
[Threaded comment]
Your version of Excel allows you to read this threaded comment; however, any edits to it will get removed if the file is opened in a newer version of Excel. Learn more: https://go.microsoft.com/fwlink/?linkid=870924
Comment:
    Assume lift kite is 5m2, lift coefficient = 1, drag coefficient = 0.2, lift kite elevation angle = 70deg, TRPT elevation angle = 20deg and backline takes no horizontal force.</t>
      </text>
    </comment>
  </commentList>
  <extLst>
    <ext uri="GoogleSheetsCustomDataVersion2">
      <go:sheetsCustomData xmlns:go="http://customooxmlschemas.google.com/" r:id="rId1" roundtripDataSignature="AMtx7mh326RhPGqQ7THTM+tswF0AN26Kk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59">
      <text>
        <t xml:space="preserve">======
ID#AAAA043Cih4
tc={B096CF0A-8D8A-47AA-BF7B-68C4D8B519DA}    (2023-07-07 22:56:57)
[Threaded comment]
Your version of Excel allows you to read this threaded comment; however, any edits to it will get removed if the file is opened in a newer version of Excel. Learn more: https://go.microsoft.com/fwlink/?linkid=870924
Comment:
    Assume lift kite is 5m2, lift coefficient = 1, drag coefficient = 0.2, lift kite elevation angle = 70deg, TRPT elevation angle = 20deg and backline takes no horizontal force.</t>
      </text>
    </comment>
  </commentList>
  <extLst>
    <ext uri="GoogleSheetsCustomDataVersion2">
      <go:sheetsCustomData xmlns:go="http://customooxmlschemas.google.com/" r:id="rId1" roundtripDataSignature="AMtx7mhn+p1n+IR3o3PSC3btrKoKSjZiSQ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59">
      <text>
        <t xml:space="preserve">======
ID#AAAA043Cihw
tc={2F8588EF-B39F-4525-AC69-CA61BC181D94}    (2023-07-07 22:56:57)
[Threaded comment]
Your version of Excel allows you to read this threaded comment; however, any edits to it will get removed if the file is opened in a newer version of Excel. Learn more: https://go.microsoft.com/fwlink/?linkid=870924
Comment:
    Assume lift kite is 5m2, lift coefficient = 1, drag coefficient = 0.2, lift kite elevation angle = 70deg, TRPT elevation angle = 20deg and backline takes no horizontal force.</t>
      </text>
    </comment>
  </commentList>
  <extLst>
    <ext uri="GoogleSheetsCustomDataVersion2">
      <go:sheetsCustomData xmlns:go="http://customooxmlschemas.google.com/" r:id="rId1" roundtripDataSignature="AMtx7minb1WrSTOUTX3578FAnRVdJkAi1Q=="/>
    </ext>
  </extLst>
</comments>
</file>

<file path=xl/sharedStrings.xml><?xml version="1.0" encoding="utf-8"?>
<sst xmlns="http://schemas.openxmlformats.org/spreadsheetml/2006/main" count="219" uniqueCount="64">
  <si>
    <t>4kW Rotor Design using AeroDyn and NACA4412 airfoil profile</t>
  </si>
  <si>
    <t>Simulations based on 3 Bladed rotor at 20 deg elevation angle</t>
  </si>
  <si>
    <t>Cp</t>
  </si>
  <si>
    <t>at</t>
  </si>
  <si>
    <t>Rotor Radius</t>
  </si>
  <si>
    <t>m</t>
  </si>
  <si>
    <t>Swept Area</t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</si>
  <si>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perscript"/>
      </rPr>
      <t>2</t>
    </r>
  </si>
  <si>
    <t>Blade Length</t>
  </si>
  <si>
    <t>Blade Chord</t>
  </si>
  <si>
    <t>Equivilent Chord for 5 bladed rotor</t>
  </si>
  <si>
    <t>Optimal tip speed</t>
  </si>
  <si>
    <t>At wind speed of 11m/s</t>
  </si>
  <si>
    <t>Power</t>
  </si>
  <si>
    <t>W</t>
  </si>
  <si>
    <t>Rotor Speed</t>
  </si>
  <si>
    <t>rpm</t>
  </si>
  <si>
    <t>Torque</t>
  </si>
  <si>
    <t>Nm</t>
  </si>
  <si>
    <t>Air density, ρ:</t>
  </si>
  <si>
    <t>kg/m^3</t>
  </si>
  <si>
    <t>Thrust</t>
  </si>
  <si>
    <t>N</t>
  </si>
  <si>
    <t>Hits 10kW at 15m/s wind</t>
  </si>
  <si>
    <t>Best Pitch Angle</t>
  </si>
  <si>
    <t>deg</t>
  </si>
  <si>
    <t>Rotor coefficients at 20 deg elevation and 3 deg blade pitch</t>
  </si>
  <si>
    <t>VLOOKUP's</t>
  </si>
  <si>
    <t>Tip Speed</t>
  </si>
  <si>
    <t>Ct</t>
  </si>
  <si>
    <t>Cq</t>
  </si>
  <si>
    <t>Wind Speed</t>
  </si>
  <si>
    <t>Rho</t>
  </si>
  <si>
    <t>Wind Speed [m/s]</t>
  </si>
  <si>
    <t>Power [W]</t>
  </si>
  <si>
    <t>Torque [Nm]</t>
  </si>
  <si>
    <t>Thrust [N]</t>
  </si>
  <si>
    <t>Tip Speed Ratio</t>
  </si>
  <si>
    <t>Ω (rad/s)</t>
  </si>
  <si>
    <t>RPM</t>
  </si>
  <si>
    <t>Assuming no lift from lifter</t>
  </si>
  <si>
    <t>TRPT radius</t>
  </si>
  <si>
    <t>TRPT length</t>
  </si>
  <si>
    <t>With lift from lifter</t>
  </si>
  <si>
    <t>TRPT Sizing</t>
  </si>
  <si>
    <t>Lift Kite</t>
  </si>
  <si>
    <t>Lift Kite Size</t>
  </si>
  <si>
    <t>m^2</t>
  </si>
  <si>
    <t>Kite Weight [N]</t>
  </si>
  <si>
    <t>Cl</t>
  </si>
  <si>
    <t>% Line Tension in TRPT</t>
  </si>
  <si>
    <t>Cd</t>
  </si>
  <si>
    <t>Lift from Lift Kite (N)</t>
  </si>
  <si>
    <t>Drag from Lift Kite (N)</t>
  </si>
  <si>
    <t>Lift Kite Line Vertical Force [N]</t>
  </si>
  <si>
    <t>Line Tension [N]</t>
  </si>
  <si>
    <t>TRPT Line Tension [N]</t>
  </si>
  <si>
    <t>7kW Rotor Design using AeroDyn and NACA4412 airfoil profile</t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</si>
  <si>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perscript"/>
      </rPr>
      <t>2</t>
    </r>
  </si>
  <si>
    <t>hits 10kW at 12.5m/s wind</t>
  </si>
  <si>
    <t>Tip speed</t>
  </si>
  <si>
    <t>Elevation angle</t>
  </si>
  <si>
    <t>12kW Rotor Design using AeroDyn and NACA4412 airfoil profile</t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</si>
  <si>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perscript"/>
      </rPr>
      <t>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</si>
</sst>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b/>
      <sz val="15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4" fillId="0" fontId="1" numFmtId="0" xfId="0" applyBorder="1" applyFont="1"/>
    <xf borderId="0" fillId="0" fontId="1" numFmtId="2" xfId="0" applyFont="1" applyNumberFormat="1"/>
    <xf borderId="6" fillId="0" fontId="1" numFmtId="0" xfId="0" applyAlignment="1" applyBorder="1" applyFont="1">
      <alignment shrinkToFit="0" wrapText="1"/>
    </xf>
    <xf borderId="7" fillId="0" fontId="1" numFmtId="0" xfId="0" applyBorder="1" applyFont="1"/>
    <xf borderId="8" fillId="0" fontId="1" numFmtId="0" xfId="0" applyBorder="1" applyFont="1"/>
    <xf borderId="6" fillId="0" fontId="1" numFmtId="0" xfId="0" applyBorder="1" applyFont="1"/>
    <xf borderId="9" fillId="0" fontId="2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Border="1" applyFill="1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1" numFmtId="164" xfId="0" applyFont="1" applyNumberFormat="1"/>
    <xf borderId="5" fillId="0" fontId="1" numFmtId="164" xfId="0" applyBorder="1" applyFont="1" applyNumberFormat="1"/>
    <xf borderId="5" fillId="0" fontId="1" numFmtId="2" xfId="0" applyBorder="1" applyFont="1" applyNumberFormat="1"/>
    <xf borderId="0" fillId="0" fontId="1" numFmtId="1" xfId="0" applyFont="1" applyNumberFormat="1"/>
    <xf borderId="0" fillId="0" fontId="4" numFmtId="0" xfId="0" applyFont="1"/>
    <xf borderId="13" fillId="0" fontId="1" numFmtId="0" xfId="0" applyBorder="1" applyFont="1"/>
    <xf borderId="14" fillId="0" fontId="1" numFmtId="2" xfId="0" applyBorder="1" applyFont="1" applyNumberFormat="1"/>
    <xf borderId="14" fillId="0" fontId="1" numFmtId="0" xfId="0" applyBorder="1" applyFont="1"/>
    <xf borderId="14" fillId="0" fontId="1" numFmtId="164" xfId="0" applyBorder="1" applyFont="1" applyNumberFormat="1"/>
    <xf borderId="15" fillId="0" fontId="1" numFmtId="2" xfId="0" applyBorder="1" applyFont="1" applyNumberFormat="1"/>
    <xf borderId="7" fillId="0" fontId="1" numFmtId="2" xfId="0" applyBorder="1" applyFont="1" applyNumberFormat="1"/>
    <xf borderId="7" fillId="0" fontId="1" numFmtId="164" xfId="0" applyBorder="1" applyFont="1" applyNumberFormat="1"/>
    <xf borderId="8" fillId="0" fontId="1" numFmtId="2" xfId="0" applyBorder="1" applyFont="1" applyNumberFormat="1"/>
    <xf borderId="0" fillId="0" fontId="5" numFmtId="0" xfId="0" applyFont="1"/>
    <xf borderId="0" fillId="0" fontId="2" numFmtId="0" xfId="0" applyFont="1"/>
    <xf borderId="0" fillId="0" fontId="1" numFmtId="10" xfId="0" applyFont="1" applyNumberFormat="1"/>
    <xf borderId="0" fillId="0" fontId="1" numFmtId="0" xfId="0" applyAlignment="1" applyFont="1">
      <alignment shrinkToFit="0" vertical="center" wrapText="1"/>
    </xf>
    <xf borderId="8" fillId="0" fontId="1" numFmtId="164" xfId="0" applyBorder="1" applyFont="1" applyNumberForma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vertical="center"/>
    </xf>
    <xf borderId="0" fillId="0" fontId="1" numFmtId="4" xfId="0" applyFont="1" applyNumberFormat="1"/>
    <xf borderId="14" fillId="0" fontId="1" numFmtId="4" xfId="0" applyBorder="1" applyFont="1" applyNumberFormat="1"/>
    <xf borderId="7" fillId="0" fontId="1" numFmtId="4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Power [W]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Power [W]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'4kW Rotor'!$L$46:$L$69</c:f>
            </c:strRef>
          </c:cat>
          <c:val>
            <c:numRef>
              <c:f>'4kW Rotor'!$M$46:$M$69</c:f>
              <c:numCache/>
            </c:numRef>
          </c:val>
          <c:smooth val="0"/>
        </c:ser>
        <c:axId val="1283423769"/>
        <c:axId val="356158063"/>
      </c:lineChart>
      <c:catAx>
        <c:axId val="1283423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56158063"/>
      </c:catAx>
      <c:valAx>
        <c:axId val="356158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Power [W]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342376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Torque [Nm]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Torque [Nm]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'4kW Rotor'!$L$46:$L$69</c:f>
            </c:strRef>
          </c:cat>
          <c:val>
            <c:numRef>
              <c:f>'4kW Rotor'!$N$46:$N$69</c:f>
              <c:numCache/>
            </c:numRef>
          </c:val>
          <c:smooth val="0"/>
        </c:ser>
        <c:axId val="1225443568"/>
        <c:axId val="651376536"/>
      </c:lineChart>
      <c:catAx>
        <c:axId val="122544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1376536"/>
      </c:catAx>
      <c:valAx>
        <c:axId val="651376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Torque [Nm/rad]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544356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Thrust [N]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Thrust [N]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'4kW Rotor'!$L$46:$L$69</c:f>
            </c:strRef>
          </c:cat>
          <c:val>
            <c:numRef>
              <c:f>'4kW Rotor'!$O$46:$O$69</c:f>
              <c:numCache/>
            </c:numRef>
          </c:val>
          <c:smooth val="0"/>
        </c:ser>
        <c:axId val="832448502"/>
        <c:axId val="2007504525"/>
      </c:lineChart>
      <c:catAx>
        <c:axId val="832448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7504525"/>
      </c:catAx>
      <c:valAx>
        <c:axId val="2007504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Thrust [N]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3244850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RPM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VLOOKUP's RPM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'4kW Rotor'!$L$46:$L$69</c:f>
            </c:strRef>
          </c:cat>
          <c:val>
            <c:numRef>
              <c:f>'4kW Rotor'!$U$46:$U$69</c:f>
              <c:numCache/>
            </c:numRef>
          </c:val>
          <c:smooth val="0"/>
        </c:ser>
        <c:axId val="1690701766"/>
        <c:axId val="1213322615"/>
      </c:lineChart>
      <c:catAx>
        <c:axId val="1690701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3322615"/>
      </c:catAx>
      <c:valAx>
        <c:axId val="1213322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07017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Power [W]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336.59 479.24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'7kW Rotor'!$M$48:$M$68</c:f>
            </c:strRef>
          </c:cat>
          <c:val>
            <c:numRef>
              <c:f>'7kW Rotor'!$N$48:$N$68</c:f>
              <c:numCache/>
            </c:numRef>
          </c:val>
          <c:smooth val="0"/>
        </c:ser>
        <c:axId val="1458961019"/>
        <c:axId val="1789167185"/>
      </c:lineChart>
      <c:catAx>
        <c:axId val="1458961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9167185"/>
      </c:catAx>
      <c:valAx>
        <c:axId val="1789167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Power [W]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896101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Torque [Nm]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79.94 101.17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'7kW Rotor'!$M$48:$M$68</c:f>
            </c:strRef>
          </c:cat>
          <c:val>
            <c:numRef>
              <c:f>'7kW Rotor'!$O$48:$O$68</c:f>
              <c:numCache/>
            </c:numRef>
          </c:val>
          <c:smooth val="0"/>
        </c:ser>
        <c:axId val="1742464964"/>
        <c:axId val="1953752587"/>
      </c:lineChart>
      <c:catAx>
        <c:axId val="1742464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3752587"/>
      </c:catAx>
      <c:valAx>
        <c:axId val="1953752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Torque [Nm/rad]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246496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Thrust [N]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195.89 247.92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'7kW Rotor'!$M$48:$M$68</c:f>
            </c:strRef>
          </c:cat>
          <c:val>
            <c:numRef>
              <c:f>'7kW Rotor'!$P$48:$P$68</c:f>
              <c:numCache/>
            </c:numRef>
          </c:val>
          <c:smooth val="0"/>
        </c:ser>
        <c:axId val="703552040"/>
        <c:axId val="1395327918"/>
      </c:lineChart>
      <c:catAx>
        <c:axId val="703552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5327918"/>
      </c:catAx>
      <c:valAx>
        <c:axId val="1395327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Thrust [N]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0355204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RPM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40.21 45.23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'7kW Rotor'!$M$48:$M$68</c:f>
            </c:strRef>
          </c:cat>
          <c:val>
            <c:numRef>
              <c:f>'7kW Rotor'!$V$48:$V$68</c:f>
              <c:numCache/>
            </c:numRef>
          </c:val>
          <c:smooth val="0"/>
        </c:ser>
        <c:axId val="2004014365"/>
        <c:axId val="1080057"/>
      </c:lineChart>
      <c:catAx>
        <c:axId val="2004014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0057"/>
      </c:catAx>
      <c:valAx>
        <c:axId val="1080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401436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Power Coefficient vs Elevation Angle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'7kW Rotor'!$G$105:$G$119</c:f>
            </c:numRef>
          </c:xVal>
          <c:yVal>
            <c:numRef>
              <c:f>'7kW Rotor'!$H$105:$H$119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47819"/>
        <c:axId val="830085439"/>
      </c:scatterChart>
      <c:valAx>
        <c:axId val="11295478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 Angle</a:t>
                </a:r>
              </a:p>
            </c:rich>
          </c:tx>
          <c:layout>
            <c:manualLayout>
              <c:xMode val="edge"/>
              <c:yMode val="edge"/>
              <c:x val="0.45948490813648296"/>
              <c:y val="0.883310002916302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0085439"/>
      </c:valAx>
      <c:valAx>
        <c:axId val="830085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Power Coefficient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9547819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Power [W] vs Wind Speed [m/s]</a:t>
            </a:r>
          </a:p>
        </c:rich>
      </c:tx>
      <c:overlay val="0"/>
    </c:title>
    <c:plotArea>
      <c:layout>
        <c:manualLayout>
          <c:xMode val="edge"/>
          <c:yMode val="edge"/>
          <c:x val="0.18676093016431927"/>
          <c:y val="0.1821926489226869"/>
          <c:w val="0.743990243544601"/>
          <c:h val="0.5500302004119139"/>
        </c:manualLayout>
      </c:layout>
      <c:lineChart>
        <c:varyColors val="0"/>
        <c:ser>
          <c:idx val="0"/>
          <c:order val="0"/>
          <c:tx>
            <c:v>Power [W]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'12kW Rotor'!$M$46:$M$68</c:f>
            </c:strRef>
          </c:cat>
          <c:val>
            <c:numRef>
              <c:f>'12kW Rotor'!$N$46:$N$68</c:f>
              <c:numCache/>
            </c:numRef>
          </c:val>
          <c:smooth val="0"/>
        </c:ser>
        <c:axId val="750596475"/>
        <c:axId val="669574865"/>
      </c:lineChart>
      <c:catAx>
        <c:axId val="750596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9574865"/>
      </c:catAx>
      <c:valAx>
        <c:axId val="669574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Power [W]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50596475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Torque [Nm]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Torque [Nm]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'12kW Rotor'!$M$46:$M$68</c:f>
            </c:strRef>
          </c:cat>
          <c:val>
            <c:numRef>
              <c:f>'12kW Rotor'!$O$46:$O$68</c:f>
              <c:numCache/>
            </c:numRef>
          </c:val>
          <c:smooth val="0"/>
        </c:ser>
        <c:axId val="1258919486"/>
        <c:axId val="1882172807"/>
      </c:lineChart>
      <c:catAx>
        <c:axId val="1258919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82172807"/>
      </c:catAx>
      <c:valAx>
        <c:axId val="1882172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Torque [Nm/rad]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8919486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Thrust [N]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'12kW Rotor'!$P$44:$P$45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'12kW Rotor'!$M$46:$M$68</c:f>
            </c:strRef>
          </c:cat>
          <c:val>
            <c:numRef>
              <c:f>'12kW Rotor'!$P$46:$P$68</c:f>
              <c:numCache/>
            </c:numRef>
          </c:val>
          <c:smooth val="0"/>
        </c:ser>
        <c:axId val="724941504"/>
        <c:axId val="1958305970"/>
      </c:lineChart>
      <c:catAx>
        <c:axId val="72494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8305970"/>
      </c:catAx>
      <c:valAx>
        <c:axId val="1958305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Thrust [N]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4941504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RPM vs Wind Speed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VLOOKUP's RPM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'12kW Rotor'!$M$46:$M$68</c:f>
            </c:strRef>
          </c:cat>
          <c:val>
            <c:numRef>
              <c:f>'12kW Rotor'!$V$46:$V$68</c:f>
              <c:numCache/>
            </c:numRef>
          </c:val>
          <c:smooth val="0"/>
        </c:ser>
        <c:axId val="1817966786"/>
        <c:axId val="1859603891"/>
      </c:lineChart>
      <c:catAx>
        <c:axId val="1817966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Wind Speed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59603891"/>
      </c:catAx>
      <c:valAx>
        <c:axId val="1859603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796678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4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9" Type="http://schemas.openxmlformats.org/officeDocument/2006/relationships/image" Target="../media/image1.png"/><Relationship Id="rId5" Type="http://schemas.openxmlformats.org/officeDocument/2006/relationships/chart" Target="../charts/chart9.xml"/><Relationship Id="rId6" Type="http://schemas.openxmlformats.org/officeDocument/2006/relationships/image" Target="../media/image10.png"/><Relationship Id="rId7" Type="http://schemas.openxmlformats.org/officeDocument/2006/relationships/image" Target="../media/image6.png"/><Relationship Id="rId8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5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561975</xdr:colOff>
      <xdr:row>69</xdr:row>
      <xdr:rowOff>190500</xdr:rowOff>
    </xdr:from>
    <xdr:ext cx="4800600" cy="2962275"/>
    <xdr:graphicFrame>
      <xdr:nvGraphicFramePr>
        <xdr:cNvPr id="113342288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561975</xdr:colOff>
      <xdr:row>85</xdr:row>
      <xdr:rowOff>19050</xdr:rowOff>
    </xdr:from>
    <xdr:ext cx="4800600" cy="2962275"/>
    <xdr:graphicFrame>
      <xdr:nvGraphicFramePr>
        <xdr:cNvPr id="176143878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400050</xdr:colOff>
      <xdr:row>69</xdr:row>
      <xdr:rowOff>190500</xdr:rowOff>
    </xdr:from>
    <xdr:ext cx="4800600" cy="2962275"/>
    <xdr:graphicFrame>
      <xdr:nvGraphicFramePr>
        <xdr:cNvPr id="90604044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400050</xdr:colOff>
      <xdr:row>85</xdr:row>
      <xdr:rowOff>19050</xdr:rowOff>
    </xdr:from>
    <xdr:ext cx="4800600" cy="2962275"/>
    <xdr:graphicFrame>
      <xdr:nvGraphicFramePr>
        <xdr:cNvPr id="40120971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180975</xdr:colOff>
      <xdr:row>3</xdr:row>
      <xdr:rowOff>19050</xdr:rowOff>
    </xdr:from>
    <xdr:ext cx="5086350" cy="406717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</xdr:row>
      <xdr:rowOff>123825</xdr:rowOff>
    </xdr:from>
    <xdr:ext cx="5619750" cy="46386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285750</xdr:colOff>
      <xdr:row>3</xdr:row>
      <xdr:rowOff>114300</xdr:rowOff>
    </xdr:from>
    <xdr:ext cx="3829050" cy="34480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1066800</xdr:colOff>
      <xdr:row>31</xdr:row>
      <xdr:rowOff>295275</xdr:rowOff>
    </xdr:from>
    <xdr:ext cx="1638300" cy="1219200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561975</xdr:colOff>
      <xdr:row>68</xdr:row>
      <xdr:rowOff>200025</xdr:rowOff>
    </xdr:from>
    <xdr:ext cx="4800600" cy="2962275"/>
    <xdr:graphicFrame>
      <xdr:nvGraphicFramePr>
        <xdr:cNvPr id="1665947149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561975</xdr:colOff>
      <xdr:row>84</xdr:row>
      <xdr:rowOff>47625</xdr:rowOff>
    </xdr:from>
    <xdr:ext cx="4800600" cy="2962275"/>
    <xdr:graphicFrame>
      <xdr:nvGraphicFramePr>
        <xdr:cNvPr id="77819443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333375</xdr:colOff>
      <xdr:row>68</xdr:row>
      <xdr:rowOff>200025</xdr:rowOff>
    </xdr:from>
    <xdr:ext cx="4800600" cy="2962275"/>
    <xdr:graphicFrame>
      <xdr:nvGraphicFramePr>
        <xdr:cNvPr id="23223644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333375</xdr:colOff>
      <xdr:row>84</xdr:row>
      <xdr:rowOff>47625</xdr:rowOff>
    </xdr:from>
    <xdr:ext cx="4800600" cy="2962275"/>
    <xdr:graphicFrame>
      <xdr:nvGraphicFramePr>
        <xdr:cNvPr id="314489453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28575</xdr:colOff>
      <xdr:row>103</xdr:row>
      <xdr:rowOff>76200</xdr:rowOff>
    </xdr:from>
    <xdr:ext cx="4572000" cy="2743200"/>
    <xdr:graphicFrame>
      <xdr:nvGraphicFramePr>
        <xdr:cNvPr id="21118377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228600</xdr:colOff>
      <xdr:row>4</xdr:row>
      <xdr:rowOff>47625</xdr:rowOff>
    </xdr:from>
    <xdr:ext cx="4314825" cy="35052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3</xdr:row>
      <xdr:rowOff>47625</xdr:rowOff>
    </xdr:from>
    <xdr:ext cx="4533900" cy="37814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381000</xdr:colOff>
      <xdr:row>3</xdr:row>
      <xdr:rowOff>47625</xdr:rowOff>
    </xdr:from>
    <xdr:ext cx="3905250" cy="35052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31</xdr:row>
      <xdr:rowOff>276225</xdr:rowOff>
    </xdr:from>
    <xdr:ext cx="1638300" cy="1219200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68</xdr:row>
      <xdr:rowOff>142875</xdr:rowOff>
    </xdr:from>
    <xdr:ext cx="4057650" cy="2505075"/>
    <xdr:graphicFrame>
      <xdr:nvGraphicFramePr>
        <xdr:cNvPr id="685609633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161925</xdr:colOff>
      <xdr:row>81</xdr:row>
      <xdr:rowOff>190500</xdr:rowOff>
    </xdr:from>
    <xdr:ext cx="4057650" cy="2505075"/>
    <xdr:graphicFrame>
      <xdr:nvGraphicFramePr>
        <xdr:cNvPr id="106272623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142875</xdr:colOff>
      <xdr:row>68</xdr:row>
      <xdr:rowOff>142875</xdr:rowOff>
    </xdr:from>
    <xdr:ext cx="4057650" cy="2505075"/>
    <xdr:graphicFrame>
      <xdr:nvGraphicFramePr>
        <xdr:cNvPr id="1390820389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142875</xdr:colOff>
      <xdr:row>81</xdr:row>
      <xdr:rowOff>190500</xdr:rowOff>
    </xdr:from>
    <xdr:ext cx="4057650" cy="2505075"/>
    <xdr:graphicFrame>
      <xdr:nvGraphicFramePr>
        <xdr:cNvPr id="469112629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85725</xdr:colOff>
      <xdr:row>3</xdr:row>
      <xdr:rowOff>161925</xdr:rowOff>
    </xdr:from>
    <xdr:ext cx="4591050" cy="36766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3</xdr:row>
      <xdr:rowOff>57150</xdr:rowOff>
    </xdr:from>
    <xdr:ext cx="4752975" cy="39719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476250</xdr:colOff>
      <xdr:row>1</xdr:row>
      <xdr:rowOff>180975</xdr:rowOff>
    </xdr:from>
    <xdr:ext cx="4705350" cy="42481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1123950</xdr:colOff>
      <xdr:row>31</xdr:row>
      <xdr:rowOff>257175</xdr:rowOff>
    </xdr:from>
    <xdr:ext cx="1638300" cy="1219200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4" width="8.71"/>
    <col customWidth="1" min="5" max="5" width="22.29"/>
    <col customWidth="1" min="6" max="6" width="14.86"/>
    <col customWidth="1" min="7" max="7" width="8.71"/>
    <col customWidth="1" min="8" max="8" width="16.86"/>
    <col customWidth="1" min="9" max="9" width="19.43"/>
    <col customWidth="1" min="10" max="10" width="19.71"/>
    <col customWidth="1" min="11" max="11" width="29.14"/>
    <col customWidth="1" min="12" max="12" width="16.43"/>
    <col customWidth="1" min="13" max="13" width="20.43"/>
    <col customWidth="1" min="14" max="14" width="15.43"/>
    <col customWidth="1" min="15" max="15" width="14.57"/>
    <col customWidth="1" min="16" max="16" width="19.86"/>
    <col customWidth="1" min="17" max="18" width="8.71"/>
    <col customWidth="1" min="19" max="19" width="11.43"/>
    <col customWidth="1" min="20" max="20" width="13.14"/>
    <col customWidth="1" min="21" max="21" width="10.57"/>
    <col customWidth="1" min="22" max="22" width="11.14"/>
    <col customWidth="1" min="23" max="23" width="14.14"/>
    <col customWidth="1" min="24" max="24" width="12.29"/>
    <col customWidth="1" min="25" max="26" width="8.71"/>
  </cols>
  <sheetData>
    <row r="1">
      <c r="A1" s="1" t="s">
        <v>0</v>
      </c>
    </row>
    <row r="2">
      <c r="B2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3" t="s">
        <v>2</v>
      </c>
      <c r="B27" s="4">
        <v>0.2224</v>
      </c>
      <c r="C27" s="5"/>
    </row>
    <row r="28" ht="15.75" customHeight="1">
      <c r="A28" s="6" t="s">
        <v>3</v>
      </c>
      <c r="B28" s="2"/>
      <c r="C28" s="7"/>
    </row>
    <row r="29" ht="15.75" customHeight="1">
      <c r="A29" s="8" t="s">
        <v>4</v>
      </c>
      <c r="B29" s="2">
        <v>2.8</v>
      </c>
      <c r="C29" s="7" t="s">
        <v>5</v>
      </c>
      <c r="E29" s="2" t="s">
        <v>6</v>
      </c>
      <c r="F29" s="9">
        <f>PI()*(B29^2 - (B29-B30)^2)</f>
        <v>21.48849375</v>
      </c>
      <c r="G29" s="2" t="s">
        <v>7</v>
      </c>
    </row>
    <row r="30" ht="15.75" customHeight="1">
      <c r="A30" s="8" t="s">
        <v>8</v>
      </c>
      <c r="B30" s="2">
        <v>1.8</v>
      </c>
      <c r="C30" s="7" t="s">
        <v>5</v>
      </c>
    </row>
    <row r="31" ht="15.75" customHeight="1">
      <c r="A31" s="8" t="s">
        <v>9</v>
      </c>
      <c r="B31" s="2">
        <v>0.3</v>
      </c>
      <c r="C31" s="7" t="s">
        <v>5</v>
      </c>
    </row>
    <row r="32" ht="15.75" customHeight="1">
      <c r="A32" s="10" t="s">
        <v>10</v>
      </c>
      <c r="B32" s="11">
        <f>(B31*3)/5</f>
        <v>0.18</v>
      </c>
      <c r="C32" s="12" t="s">
        <v>5</v>
      </c>
    </row>
    <row r="33" ht="15.75" customHeight="1"/>
    <row r="34" ht="15.75" customHeight="1">
      <c r="A34" s="2" t="s">
        <v>11</v>
      </c>
      <c r="B34" s="2">
        <v>4.1</v>
      </c>
    </row>
    <row r="35" ht="15.75" customHeight="1"/>
    <row r="36" ht="15.75" customHeight="1">
      <c r="A36" s="2" t="s">
        <v>12</v>
      </c>
    </row>
    <row r="37" ht="15.75" customHeight="1">
      <c r="A37" s="3" t="s">
        <v>13</v>
      </c>
      <c r="B37" s="4">
        <v>3896.0</v>
      </c>
      <c r="C37" s="5" t="s">
        <v>14</v>
      </c>
    </row>
    <row r="38" ht="15.75" customHeight="1">
      <c r="A38" s="8" t="s">
        <v>15</v>
      </c>
      <c r="B38" s="2">
        <v>154.0</v>
      </c>
      <c r="C38" s="7" t="s">
        <v>16</v>
      </c>
    </row>
    <row r="39" ht="15.75" customHeight="1">
      <c r="A39" s="8" t="s">
        <v>17</v>
      </c>
      <c r="B39" s="2">
        <v>242.0</v>
      </c>
      <c r="C39" s="7" t="s">
        <v>18</v>
      </c>
      <c r="M39" s="2" t="s">
        <v>19</v>
      </c>
      <c r="N39" s="2">
        <v>1.225</v>
      </c>
      <c r="O39" s="2" t="s">
        <v>20</v>
      </c>
      <c r="Z39" s="2"/>
    </row>
    <row r="40" ht="15.75" customHeight="1">
      <c r="A40" s="13" t="s">
        <v>21</v>
      </c>
      <c r="B40" s="11">
        <v>996.0</v>
      </c>
      <c r="C40" s="12" t="s">
        <v>22</v>
      </c>
      <c r="F40" s="2" t="s">
        <v>23</v>
      </c>
    </row>
    <row r="41" ht="15.75" customHeight="1"/>
    <row r="42" ht="15.75" customHeight="1">
      <c r="A42" s="2" t="s">
        <v>24</v>
      </c>
      <c r="B42" s="2">
        <v>2.9</v>
      </c>
      <c r="C42" s="2" t="s">
        <v>25</v>
      </c>
    </row>
    <row r="43" ht="15.75" customHeight="1"/>
    <row r="44" ht="15.75" customHeight="1">
      <c r="A44" s="1" t="s">
        <v>26</v>
      </c>
      <c r="Q44" s="14" t="s">
        <v>27</v>
      </c>
      <c r="R44" s="15"/>
      <c r="S44" s="16"/>
    </row>
    <row r="45" ht="15.75" customHeight="1">
      <c r="A45" s="3" t="s">
        <v>28</v>
      </c>
      <c r="B45" s="4" t="s">
        <v>2</v>
      </c>
      <c r="C45" s="4" t="s">
        <v>29</v>
      </c>
      <c r="D45" s="5" t="s">
        <v>30</v>
      </c>
      <c r="F45" s="2" t="s">
        <v>31</v>
      </c>
      <c r="G45" s="17">
        <v>11.0</v>
      </c>
      <c r="I45" s="2" t="s">
        <v>32</v>
      </c>
      <c r="J45" s="2">
        <v>1.225</v>
      </c>
      <c r="L45" s="18" t="s">
        <v>33</v>
      </c>
      <c r="M45" s="19" t="s">
        <v>34</v>
      </c>
      <c r="N45" s="19" t="s">
        <v>35</v>
      </c>
      <c r="O45" s="19" t="s">
        <v>36</v>
      </c>
      <c r="P45" s="19" t="s">
        <v>37</v>
      </c>
      <c r="Q45" s="19" t="s">
        <v>2</v>
      </c>
      <c r="R45" s="19" t="s">
        <v>29</v>
      </c>
      <c r="S45" s="19" t="s">
        <v>30</v>
      </c>
      <c r="T45" s="19" t="s">
        <v>38</v>
      </c>
      <c r="U45" s="20" t="s">
        <v>39</v>
      </c>
    </row>
    <row r="46" ht="15.75" customHeight="1">
      <c r="A46" s="8">
        <v>1.0</v>
      </c>
      <c r="B46" s="21">
        <v>0.0141168747114406</v>
      </c>
      <c r="C46" s="21">
        <v>0.111958407791143</v>
      </c>
      <c r="D46" s="22">
        <v>0.0141168747114406</v>
      </c>
      <c r="F46" s="2" t="s">
        <v>37</v>
      </c>
      <c r="G46" s="17">
        <v>4.1</v>
      </c>
      <c r="L46" s="8">
        <v>4.0</v>
      </c>
      <c r="M46" s="9">
        <f t="shared" ref="M46:M69" si="1">(0.5*$N$39*$F$29*(L46^3))*Q46</f>
        <v>195.253</v>
      </c>
      <c r="N46" s="9">
        <f t="shared" ref="N46:N69" si="2">0.5*$N$39*$F$29*(L46^2)*$B$29*S46</f>
        <v>33.3356</v>
      </c>
      <c r="O46" s="9">
        <f t="shared" ref="O46:O69" si="3">0.5*$N$39*$F$29*(L46^2)*R46</f>
        <v>115.7724</v>
      </c>
      <c r="P46" s="2">
        <v>4.1</v>
      </c>
      <c r="Q46" s="21">
        <f t="shared" ref="Q46:Q69" si="4">VLOOKUP(P46,$A$46:$D$186,2)</f>
        <v>0.2317958595</v>
      </c>
      <c r="R46" s="21">
        <f t="shared" ref="R46:R69" si="5">VLOOKUP(P46,$A$46:$D$186,3)</f>
        <v>0.5497598083</v>
      </c>
      <c r="S46" s="21">
        <f t="shared" ref="S46:S69" si="6">VLOOKUP(P46,$A$46:$D$186,4)</f>
        <v>0.05653510393</v>
      </c>
      <c r="T46" s="9">
        <f t="shared" ref="T46:T69" si="7">(P46*L46)/$B$29</f>
        <v>5.857142857</v>
      </c>
      <c r="U46" s="23">
        <f t="shared" ref="U46:U69" si="8">(T46*60)/(2*PI())</f>
        <v>55.93159429</v>
      </c>
    </row>
    <row r="47" ht="15.75" customHeight="1">
      <c r="A47" s="8">
        <v>1.1</v>
      </c>
      <c r="B47" s="21">
        <v>0.0178106576320672</v>
      </c>
      <c r="C47" s="21">
        <v>0.118109439035554</v>
      </c>
      <c r="D47" s="22">
        <v>0.0161918140620738</v>
      </c>
      <c r="F47" s="2" t="s">
        <v>2</v>
      </c>
      <c r="G47" s="21">
        <f>VLOOKUP(G46,A46:D186, 2)</f>
        <v>0.2317958595</v>
      </c>
      <c r="L47" s="8">
        <v>4.5</v>
      </c>
      <c r="M47" s="9">
        <f t="shared" si="1"/>
        <v>278.0067129</v>
      </c>
      <c r="N47" s="9">
        <f t="shared" si="2"/>
        <v>42.19036875</v>
      </c>
      <c r="O47" s="9">
        <f t="shared" si="3"/>
        <v>146.5244438</v>
      </c>
      <c r="P47" s="2">
        <v>4.1</v>
      </c>
      <c r="Q47" s="21">
        <f t="shared" si="4"/>
        <v>0.2317958595</v>
      </c>
      <c r="R47" s="21">
        <f t="shared" si="5"/>
        <v>0.5497598083</v>
      </c>
      <c r="S47" s="21">
        <f t="shared" si="6"/>
        <v>0.05653510393</v>
      </c>
      <c r="T47" s="9">
        <f t="shared" si="7"/>
        <v>6.589285714</v>
      </c>
      <c r="U47" s="23">
        <f t="shared" si="8"/>
        <v>62.92304357</v>
      </c>
    </row>
    <row r="48" ht="15.75" customHeight="1">
      <c r="A48" s="8">
        <v>1.2</v>
      </c>
      <c r="B48" s="21">
        <v>0.0222213726133456</v>
      </c>
      <c r="C48" s="21">
        <v>0.124708886232655</v>
      </c>
      <c r="D48" s="22">
        <v>0.0185182670010442</v>
      </c>
      <c r="F48" s="2" t="s">
        <v>29</v>
      </c>
      <c r="G48" s="21">
        <f>VLOOKUP(G46,A46:D186, 3)</f>
        <v>0.5497598083</v>
      </c>
      <c r="L48" s="8">
        <v>5.0</v>
      </c>
      <c r="M48" s="9">
        <f t="shared" si="1"/>
        <v>381.3535156</v>
      </c>
      <c r="N48" s="9">
        <f t="shared" si="2"/>
        <v>52.086875</v>
      </c>
      <c r="O48" s="9">
        <f t="shared" si="3"/>
        <v>180.894375</v>
      </c>
      <c r="P48" s="2">
        <v>4.1</v>
      </c>
      <c r="Q48" s="21">
        <f t="shared" si="4"/>
        <v>0.2317958595</v>
      </c>
      <c r="R48" s="21">
        <f t="shared" si="5"/>
        <v>0.5497598083</v>
      </c>
      <c r="S48" s="21">
        <f t="shared" si="6"/>
        <v>0.05653510393</v>
      </c>
      <c r="T48" s="9">
        <f t="shared" si="7"/>
        <v>7.321428571</v>
      </c>
      <c r="U48" s="23">
        <f t="shared" si="8"/>
        <v>69.91449286</v>
      </c>
    </row>
    <row r="49" ht="15.75" customHeight="1">
      <c r="A49" s="8">
        <v>1.3</v>
      </c>
      <c r="B49" s="21">
        <v>0.0274410505304749</v>
      </c>
      <c r="C49" s="21">
        <v>0.13229558030594</v>
      </c>
      <c r="D49" s="22">
        <v>0.0211083613754618</v>
      </c>
      <c r="F49" s="2" t="s">
        <v>30</v>
      </c>
      <c r="G49" s="21">
        <f>VLOOKUP(G46,A46:D186, 4)</f>
        <v>0.05653510393</v>
      </c>
      <c r="L49" s="8">
        <v>5.5</v>
      </c>
      <c r="M49" s="9">
        <f t="shared" si="1"/>
        <v>507.5815293</v>
      </c>
      <c r="N49" s="9">
        <f t="shared" si="2"/>
        <v>63.02511875</v>
      </c>
      <c r="O49" s="9">
        <f t="shared" si="3"/>
        <v>218.8821938</v>
      </c>
      <c r="P49" s="2">
        <v>4.1</v>
      </c>
      <c r="Q49" s="21">
        <f t="shared" si="4"/>
        <v>0.2317958595</v>
      </c>
      <c r="R49" s="21">
        <f t="shared" si="5"/>
        <v>0.5497598083</v>
      </c>
      <c r="S49" s="21">
        <f t="shared" si="6"/>
        <v>0.05653510393</v>
      </c>
      <c r="T49" s="9">
        <f t="shared" si="7"/>
        <v>8.053571429</v>
      </c>
      <c r="U49" s="23">
        <f t="shared" si="8"/>
        <v>76.90594214</v>
      </c>
    </row>
    <row r="50" ht="15.75" customHeight="1">
      <c r="A50" s="8">
        <v>1.4</v>
      </c>
      <c r="B50" s="21">
        <v>0.0332261325203951</v>
      </c>
      <c r="C50" s="21">
        <v>0.140960876491964</v>
      </c>
      <c r="D50" s="22">
        <v>0.0237329095707555</v>
      </c>
      <c r="F50" s="2" t="s">
        <v>13</v>
      </c>
      <c r="G50" s="24">
        <f>0.5*F29*J45*G45^3*G47</f>
        <v>4060.652234</v>
      </c>
      <c r="H50" s="2" t="s">
        <v>14</v>
      </c>
      <c r="L50" s="8">
        <v>6.0</v>
      </c>
      <c r="M50" s="9">
        <f t="shared" si="1"/>
        <v>658.978875</v>
      </c>
      <c r="N50" s="9">
        <f t="shared" si="2"/>
        <v>75.0051</v>
      </c>
      <c r="O50" s="9">
        <f t="shared" si="3"/>
        <v>260.4879</v>
      </c>
      <c r="P50" s="2">
        <v>4.1</v>
      </c>
      <c r="Q50" s="21">
        <f t="shared" si="4"/>
        <v>0.2317958595</v>
      </c>
      <c r="R50" s="21">
        <f t="shared" si="5"/>
        <v>0.5497598083</v>
      </c>
      <c r="S50" s="21">
        <f t="shared" si="6"/>
        <v>0.05653510393</v>
      </c>
      <c r="T50" s="9">
        <f t="shared" si="7"/>
        <v>8.785714286</v>
      </c>
      <c r="U50" s="23">
        <f t="shared" si="8"/>
        <v>83.89739143</v>
      </c>
    </row>
    <row r="51" ht="15.75" customHeight="1">
      <c r="A51" s="8">
        <v>1.5</v>
      </c>
      <c r="B51" s="21">
        <v>0.0393078186927246</v>
      </c>
      <c r="C51" s="21">
        <v>0.15025126967331</v>
      </c>
      <c r="D51" s="22">
        <v>0.0262052916055802</v>
      </c>
      <c r="F51" s="2" t="s">
        <v>21</v>
      </c>
      <c r="G51" s="24">
        <f>0.5*F29*J45*G45^2*G48</f>
        <v>875.528775</v>
      </c>
      <c r="H51" s="2" t="s">
        <v>22</v>
      </c>
      <c r="L51" s="8">
        <v>6.5</v>
      </c>
      <c r="M51" s="9">
        <f t="shared" si="1"/>
        <v>837.8336738</v>
      </c>
      <c r="N51" s="9">
        <f t="shared" si="2"/>
        <v>88.02681875</v>
      </c>
      <c r="O51" s="9">
        <f t="shared" si="3"/>
        <v>305.7114938</v>
      </c>
      <c r="P51" s="2">
        <v>4.1</v>
      </c>
      <c r="Q51" s="21">
        <f t="shared" si="4"/>
        <v>0.2317958595</v>
      </c>
      <c r="R51" s="21">
        <f t="shared" si="5"/>
        <v>0.5497598083</v>
      </c>
      <c r="S51" s="21">
        <f t="shared" si="6"/>
        <v>0.05653510393</v>
      </c>
      <c r="T51" s="9">
        <f t="shared" si="7"/>
        <v>9.517857143</v>
      </c>
      <c r="U51" s="23">
        <f t="shared" si="8"/>
        <v>90.88884072</v>
      </c>
    </row>
    <row r="52" ht="15.75" customHeight="1">
      <c r="A52" s="8">
        <v>1.6</v>
      </c>
      <c r="B52" s="21">
        <v>0.0459249228319805</v>
      </c>
      <c r="C52" s="21">
        <v>0.159999839030701</v>
      </c>
      <c r="D52" s="22">
        <v>0.02870290257319</v>
      </c>
      <c r="F52" s="2" t="s">
        <v>17</v>
      </c>
      <c r="G52" s="24">
        <f>0.5*J45*F29*B29*G45^2*G49</f>
        <v>252.100475</v>
      </c>
      <c r="H52" s="2" t="s">
        <v>18</v>
      </c>
      <c r="L52" s="8">
        <v>7.0</v>
      </c>
      <c r="M52" s="9">
        <f t="shared" si="1"/>
        <v>1046.434047</v>
      </c>
      <c r="N52" s="9">
        <f t="shared" si="2"/>
        <v>102.090275</v>
      </c>
      <c r="O52" s="9">
        <f t="shared" si="3"/>
        <v>354.552975</v>
      </c>
      <c r="P52" s="2">
        <v>4.1</v>
      </c>
      <c r="Q52" s="21">
        <f t="shared" si="4"/>
        <v>0.2317958595</v>
      </c>
      <c r="R52" s="21">
        <f t="shared" si="5"/>
        <v>0.5497598083</v>
      </c>
      <c r="S52" s="21">
        <f t="shared" si="6"/>
        <v>0.05653510393</v>
      </c>
      <c r="T52" s="9">
        <f t="shared" si="7"/>
        <v>10.25</v>
      </c>
      <c r="U52" s="23">
        <f t="shared" si="8"/>
        <v>97.88029</v>
      </c>
    </row>
    <row r="53" ht="15.75" customHeight="1">
      <c r="A53" s="8">
        <v>1.7</v>
      </c>
      <c r="B53" s="21">
        <v>0.0535596913025629</v>
      </c>
      <c r="C53" s="21">
        <v>0.17098187056727</v>
      </c>
      <c r="D53" s="22">
        <v>0.0315057586276206</v>
      </c>
      <c r="L53" s="8">
        <v>7.5</v>
      </c>
      <c r="M53" s="9">
        <f t="shared" si="1"/>
        <v>1287.068115</v>
      </c>
      <c r="N53" s="9">
        <f t="shared" si="2"/>
        <v>117.1954688</v>
      </c>
      <c r="O53" s="9">
        <f t="shared" si="3"/>
        <v>407.0123438</v>
      </c>
      <c r="P53" s="2">
        <v>4.1</v>
      </c>
      <c r="Q53" s="21">
        <f t="shared" si="4"/>
        <v>0.2317958595</v>
      </c>
      <c r="R53" s="21">
        <f t="shared" si="5"/>
        <v>0.5497598083</v>
      </c>
      <c r="S53" s="21">
        <f t="shared" si="6"/>
        <v>0.05653510393</v>
      </c>
      <c r="T53" s="9">
        <f t="shared" si="7"/>
        <v>10.98214286</v>
      </c>
      <c r="U53" s="23">
        <f t="shared" si="8"/>
        <v>104.8717393</v>
      </c>
    </row>
    <row r="54" ht="15.75" customHeight="1">
      <c r="A54" s="8">
        <v>1.8</v>
      </c>
      <c r="B54" s="21">
        <v>0.0621429511937247</v>
      </c>
      <c r="C54" s="21">
        <v>0.18367589711797</v>
      </c>
      <c r="D54" s="22">
        <v>0.0345239343227416</v>
      </c>
      <c r="F54" s="25" t="s">
        <v>40</v>
      </c>
      <c r="L54" s="8">
        <v>8.0</v>
      </c>
      <c r="M54" s="9">
        <f t="shared" si="1"/>
        <v>1562.024</v>
      </c>
      <c r="N54" s="9">
        <f t="shared" si="2"/>
        <v>133.3424</v>
      </c>
      <c r="O54" s="9">
        <f t="shared" si="3"/>
        <v>463.0896</v>
      </c>
      <c r="P54" s="2">
        <v>4.1</v>
      </c>
      <c r="Q54" s="21">
        <f t="shared" si="4"/>
        <v>0.2317958595</v>
      </c>
      <c r="R54" s="21">
        <f t="shared" si="5"/>
        <v>0.5497598083</v>
      </c>
      <c r="S54" s="21">
        <f t="shared" si="6"/>
        <v>0.05653510393</v>
      </c>
      <c r="T54" s="9">
        <f t="shared" si="7"/>
        <v>11.71428571</v>
      </c>
      <c r="U54" s="23">
        <f t="shared" si="8"/>
        <v>111.8631886</v>
      </c>
    </row>
    <row r="55" ht="15.75" customHeight="1">
      <c r="A55" s="8">
        <v>1.9</v>
      </c>
      <c r="B55" s="21">
        <v>0.0714588372592899</v>
      </c>
      <c r="C55" s="21">
        <v>0.198370060000484</v>
      </c>
      <c r="D55" s="22">
        <v>0.0376101739474538</v>
      </c>
      <c r="F55" s="25" t="s">
        <v>41</v>
      </c>
      <c r="G55" s="25">
        <v>0.53</v>
      </c>
      <c r="H55" s="25" t="s">
        <v>5</v>
      </c>
      <c r="L55" s="8">
        <v>8.5</v>
      </c>
      <c r="M55" s="9">
        <f t="shared" si="1"/>
        <v>1873.589822</v>
      </c>
      <c r="N55" s="9">
        <f t="shared" si="2"/>
        <v>150.5310688</v>
      </c>
      <c r="O55" s="9">
        <f t="shared" si="3"/>
        <v>522.7847438</v>
      </c>
      <c r="P55" s="2">
        <v>4.1</v>
      </c>
      <c r="Q55" s="21">
        <f t="shared" si="4"/>
        <v>0.2317958595</v>
      </c>
      <c r="R55" s="21">
        <f t="shared" si="5"/>
        <v>0.5497598083</v>
      </c>
      <c r="S55" s="21">
        <f t="shared" si="6"/>
        <v>0.05653510393</v>
      </c>
      <c r="T55" s="9">
        <f t="shared" si="7"/>
        <v>12.44642857</v>
      </c>
      <c r="U55" s="23">
        <f t="shared" si="8"/>
        <v>118.8546379</v>
      </c>
    </row>
    <row r="56" ht="15.75" customHeight="1">
      <c r="A56" s="8">
        <v>2.0</v>
      </c>
      <c r="B56" s="21">
        <v>0.0813497774188284</v>
      </c>
      <c r="C56" s="21">
        <v>0.214309282303727</v>
      </c>
      <c r="D56" s="22">
        <v>0.0406750159047488</v>
      </c>
      <c r="F56" s="25" t="s">
        <v>42</v>
      </c>
      <c r="G56" s="25">
        <f>G55*2</f>
        <v>1.06</v>
      </c>
      <c r="H56" s="25" t="s">
        <v>5</v>
      </c>
      <c r="L56" s="8">
        <v>9.0</v>
      </c>
      <c r="M56" s="9">
        <f t="shared" si="1"/>
        <v>2224.053703</v>
      </c>
      <c r="N56" s="9">
        <f t="shared" si="2"/>
        <v>168.761475</v>
      </c>
      <c r="O56" s="9">
        <f t="shared" si="3"/>
        <v>586.097775</v>
      </c>
      <c r="P56" s="2">
        <v>4.1</v>
      </c>
      <c r="Q56" s="21">
        <f t="shared" si="4"/>
        <v>0.2317958595</v>
      </c>
      <c r="R56" s="21">
        <f t="shared" si="5"/>
        <v>0.5497598083</v>
      </c>
      <c r="S56" s="21">
        <f t="shared" si="6"/>
        <v>0.05653510393</v>
      </c>
      <c r="T56" s="9">
        <f t="shared" si="7"/>
        <v>13.17857143</v>
      </c>
      <c r="U56" s="23">
        <f t="shared" si="8"/>
        <v>125.8460871</v>
      </c>
    </row>
    <row r="57" ht="15.75" customHeight="1">
      <c r="A57" s="8">
        <v>2.1</v>
      </c>
      <c r="B57" s="21">
        <v>0.0916344105846363</v>
      </c>
      <c r="C57" s="21">
        <v>0.230899081479817</v>
      </c>
      <c r="D57" s="22">
        <v>0.0436361402524791</v>
      </c>
      <c r="L57" s="8">
        <v>9.5</v>
      </c>
      <c r="M57" s="9">
        <f t="shared" si="1"/>
        <v>2615.703764</v>
      </c>
      <c r="N57" s="9">
        <f t="shared" si="2"/>
        <v>188.0336188</v>
      </c>
      <c r="O57" s="9">
        <f t="shared" si="3"/>
        <v>653.0286938</v>
      </c>
      <c r="P57" s="2">
        <v>4.1</v>
      </c>
      <c r="Q57" s="21">
        <f t="shared" si="4"/>
        <v>0.2317958595</v>
      </c>
      <c r="R57" s="21">
        <f t="shared" si="5"/>
        <v>0.5497598083</v>
      </c>
      <c r="S57" s="21">
        <f t="shared" si="6"/>
        <v>0.05653510393</v>
      </c>
      <c r="T57" s="9">
        <f t="shared" si="7"/>
        <v>13.91071429</v>
      </c>
      <c r="U57" s="23">
        <f t="shared" si="8"/>
        <v>132.8375364</v>
      </c>
    </row>
    <row r="58" ht="15.75" customHeight="1">
      <c r="A58" s="8">
        <v>2.2</v>
      </c>
      <c r="B58" s="21">
        <v>0.102193514323028</v>
      </c>
      <c r="C58" s="21">
        <v>0.24793477662071</v>
      </c>
      <c r="D58" s="22">
        <v>0.0464519057718843</v>
      </c>
      <c r="L58" s="8">
        <v>10.0</v>
      </c>
      <c r="M58" s="9">
        <f t="shared" si="1"/>
        <v>3050.828125</v>
      </c>
      <c r="N58" s="9">
        <f t="shared" si="2"/>
        <v>208.3475</v>
      </c>
      <c r="O58" s="9">
        <f t="shared" si="3"/>
        <v>723.5775</v>
      </c>
      <c r="P58" s="2">
        <v>4.1</v>
      </c>
      <c r="Q58" s="21">
        <f t="shared" si="4"/>
        <v>0.2317958595</v>
      </c>
      <c r="R58" s="21">
        <f t="shared" si="5"/>
        <v>0.5497598083</v>
      </c>
      <c r="S58" s="21">
        <f t="shared" si="6"/>
        <v>0.05653510393</v>
      </c>
      <c r="T58" s="9">
        <f t="shared" si="7"/>
        <v>14.64285714</v>
      </c>
      <c r="U58" s="23">
        <f t="shared" si="8"/>
        <v>139.8289857</v>
      </c>
    </row>
    <row r="59" ht="15.75" customHeight="1">
      <c r="A59" s="8">
        <v>2.3</v>
      </c>
      <c r="B59" s="21">
        <v>0.11289365224837</v>
      </c>
      <c r="C59" s="21">
        <v>0.265446758931675</v>
      </c>
      <c r="D59" s="22">
        <v>0.0490845100095357</v>
      </c>
      <c r="F59" s="25" t="s">
        <v>43</v>
      </c>
      <c r="L59" s="8">
        <v>10.5</v>
      </c>
      <c r="M59" s="9">
        <f t="shared" si="1"/>
        <v>3531.714908</v>
      </c>
      <c r="N59" s="9">
        <f t="shared" si="2"/>
        <v>229.7031188</v>
      </c>
      <c r="O59" s="9">
        <f t="shared" si="3"/>
        <v>797.7441938</v>
      </c>
      <c r="P59" s="2">
        <v>4.1</v>
      </c>
      <c r="Q59" s="21">
        <f t="shared" si="4"/>
        <v>0.2317958595</v>
      </c>
      <c r="R59" s="21">
        <f t="shared" si="5"/>
        <v>0.5497598083</v>
      </c>
      <c r="S59" s="21">
        <f t="shared" si="6"/>
        <v>0.05653510393</v>
      </c>
      <c r="T59" s="9">
        <f t="shared" si="7"/>
        <v>15.375</v>
      </c>
      <c r="U59" s="23">
        <f t="shared" si="8"/>
        <v>146.820435</v>
      </c>
    </row>
    <row r="60" ht="15.75" customHeight="1">
      <c r="A60" s="8">
        <v>2.4</v>
      </c>
      <c r="B60" s="21">
        <v>0.123642344872754</v>
      </c>
      <c r="C60" s="21">
        <v>0.283162355128786</v>
      </c>
      <c r="D60" s="22">
        <v>0.0515176577734898</v>
      </c>
      <c r="F60" s="25" t="s">
        <v>41</v>
      </c>
      <c r="G60" s="25">
        <v>0.38</v>
      </c>
      <c r="H60" s="25" t="s">
        <v>5</v>
      </c>
      <c r="L60" s="26">
        <v>10.9</v>
      </c>
      <c r="M60" s="27">
        <f t="shared" si="1"/>
        <v>3950.910896</v>
      </c>
      <c r="N60" s="27">
        <f t="shared" si="2"/>
        <v>247.5376648</v>
      </c>
      <c r="O60" s="27">
        <f t="shared" si="3"/>
        <v>859.6824278</v>
      </c>
      <c r="P60" s="28">
        <v>4.1</v>
      </c>
      <c r="Q60" s="29">
        <f t="shared" si="4"/>
        <v>0.2317958595</v>
      </c>
      <c r="R60" s="29">
        <f t="shared" si="5"/>
        <v>0.5497598083</v>
      </c>
      <c r="S60" s="29">
        <f t="shared" si="6"/>
        <v>0.05653510393</v>
      </c>
      <c r="T60" s="27">
        <f t="shared" si="7"/>
        <v>15.96071429</v>
      </c>
      <c r="U60" s="30">
        <f t="shared" si="8"/>
        <v>152.4135944</v>
      </c>
    </row>
    <row r="61" ht="15.75" customHeight="1">
      <c r="A61" s="8">
        <v>2.5</v>
      </c>
      <c r="B61" s="21">
        <v>0.13424835808161</v>
      </c>
      <c r="C61" s="21">
        <v>0.30106618798866</v>
      </c>
      <c r="D61" s="22">
        <v>0.0537005864699113</v>
      </c>
      <c r="F61" s="25" t="s">
        <v>42</v>
      </c>
      <c r="G61" s="25">
        <f>G60*2</f>
        <v>0.76</v>
      </c>
      <c r="H61" s="25" t="s">
        <v>5</v>
      </c>
      <c r="L61" s="8">
        <v>11.0</v>
      </c>
      <c r="M61" s="9">
        <f t="shared" si="1"/>
        <v>3960.996841</v>
      </c>
      <c r="N61" s="9">
        <f t="shared" si="2"/>
        <v>272.4880229</v>
      </c>
      <c r="O61" s="9">
        <f t="shared" si="3"/>
        <v>795.8295941</v>
      </c>
      <c r="P61" s="2">
        <v>3.7</v>
      </c>
      <c r="Q61" s="21">
        <f t="shared" si="4"/>
        <v>0.2261071902</v>
      </c>
      <c r="R61" s="21">
        <f t="shared" si="5"/>
        <v>0.4997153007</v>
      </c>
      <c r="S61" s="21">
        <f t="shared" si="6"/>
        <v>0.06110713871</v>
      </c>
      <c r="T61" s="9">
        <f t="shared" si="7"/>
        <v>14.53571429</v>
      </c>
      <c r="U61" s="23">
        <f t="shared" si="8"/>
        <v>138.8058468</v>
      </c>
    </row>
    <row r="62" ht="15.75" customHeight="1">
      <c r="A62" s="8">
        <v>2.6</v>
      </c>
      <c r="B62" s="21">
        <v>0.144682615528213</v>
      </c>
      <c r="C62" s="21">
        <v>0.318950000944764</v>
      </c>
      <c r="D62" s="22">
        <v>0.0556467717097021</v>
      </c>
      <c r="L62" s="8">
        <v>11.5</v>
      </c>
      <c r="M62" s="9">
        <f t="shared" si="1"/>
        <v>3979.927884</v>
      </c>
      <c r="N62" s="9">
        <f t="shared" si="2"/>
        <v>302.8144781</v>
      </c>
      <c r="O62" s="9">
        <f t="shared" si="3"/>
        <v>735.8414797</v>
      </c>
      <c r="P62" s="2">
        <v>3.2</v>
      </c>
      <c r="Q62" s="21">
        <f t="shared" si="4"/>
        <v>0.1988243696</v>
      </c>
      <c r="R62" s="21">
        <f t="shared" si="5"/>
        <v>0.4227430899</v>
      </c>
      <c r="S62" s="21">
        <f t="shared" si="6"/>
        <v>0.06213135946</v>
      </c>
      <c r="T62" s="9">
        <f t="shared" si="7"/>
        <v>13.14285714</v>
      </c>
      <c r="U62" s="23">
        <f t="shared" si="8"/>
        <v>125.5050408</v>
      </c>
    </row>
    <row r="63" ht="15.75" customHeight="1">
      <c r="A63" s="8">
        <v>2.7</v>
      </c>
      <c r="B63" s="21">
        <v>0.154913233075281</v>
      </c>
      <c r="C63" s="21">
        <v>0.336928298311572</v>
      </c>
      <c r="D63" s="22">
        <v>0.0573783241973927</v>
      </c>
      <c r="L63" s="8">
        <v>12.0</v>
      </c>
      <c r="M63" s="9">
        <f t="shared" si="1"/>
        <v>3960.9405</v>
      </c>
      <c r="N63" s="9">
        <f t="shared" si="2"/>
        <v>318.6855</v>
      </c>
      <c r="O63" s="9">
        <f t="shared" si="3"/>
        <v>705.6198</v>
      </c>
      <c r="P63" s="2">
        <v>2.9</v>
      </c>
      <c r="Q63" s="21">
        <f t="shared" si="4"/>
        <v>0.1741576328</v>
      </c>
      <c r="R63" s="21">
        <f t="shared" si="5"/>
        <v>0.3723027115</v>
      </c>
      <c r="S63" s="21">
        <f t="shared" si="6"/>
        <v>0.06005230932</v>
      </c>
      <c r="T63" s="9">
        <f t="shared" si="7"/>
        <v>12.42857143</v>
      </c>
      <c r="U63" s="23">
        <f t="shared" si="8"/>
        <v>118.6841147</v>
      </c>
    </row>
    <row r="64" ht="15.75" customHeight="1">
      <c r="A64" s="8">
        <v>2.8</v>
      </c>
      <c r="B64" s="21">
        <v>0.164802839930418</v>
      </c>
      <c r="C64" s="21">
        <v>0.354748941301047</v>
      </c>
      <c r="D64" s="22">
        <v>0.0588597258604659</v>
      </c>
      <c r="L64" s="8">
        <v>12.5</v>
      </c>
      <c r="M64" s="9">
        <f t="shared" si="1"/>
        <v>3982.269287</v>
      </c>
      <c r="N64" s="9">
        <f t="shared" si="2"/>
        <v>330.3984375</v>
      </c>
      <c r="O64" s="9">
        <f t="shared" si="3"/>
        <v>692.8984375</v>
      </c>
      <c r="P64" s="2">
        <v>2.7</v>
      </c>
      <c r="Q64" s="21">
        <f t="shared" si="4"/>
        <v>0.1549132331</v>
      </c>
      <c r="R64" s="21">
        <f t="shared" si="5"/>
        <v>0.3369282983</v>
      </c>
      <c r="S64" s="21">
        <f t="shared" si="6"/>
        <v>0.0573783242</v>
      </c>
      <c r="T64" s="9">
        <f t="shared" si="7"/>
        <v>12.05357143</v>
      </c>
      <c r="U64" s="23">
        <f t="shared" si="8"/>
        <v>115.1031285</v>
      </c>
    </row>
    <row r="65" ht="15.75" customHeight="1">
      <c r="A65" s="8">
        <v>2.9</v>
      </c>
      <c r="B65" s="21">
        <v>0.174157632802212</v>
      </c>
      <c r="C65" s="21">
        <v>0.372302711519256</v>
      </c>
      <c r="D65" s="22">
        <v>0.0600523093172181</v>
      </c>
      <c r="L65" s="8">
        <v>13.0</v>
      </c>
      <c r="M65" s="9">
        <f t="shared" si="1"/>
        <v>3881.960457</v>
      </c>
      <c r="N65" s="9">
        <f t="shared" si="2"/>
        <v>334.453567</v>
      </c>
      <c r="O65" s="9">
        <f t="shared" si="3"/>
        <v>669.6698643</v>
      </c>
      <c r="P65" s="2">
        <v>2.5</v>
      </c>
      <c r="Q65" s="21">
        <f t="shared" si="4"/>
        <v>0.1342483581</v>
      </c>
      <c r="R65" s="21">
        <f t="shared" si="5"/>
        <v>0.301066188</v>
      </c>
      <c r="S65" s="21">
        <f t="shared" si="6"/>
        <v>0.05370058647</v>
      </c>
      <c r="T65" s="9">
        <f t="shared" si="7"/>
        <v>11.60714286</v>
      </c>
      <c r="U65" s="23">
        <f t="shared" si="8"/>
        <v>110.8400497</v>
      </c>
    </row>
    <row r="66" ht="15.75" customHeight="1">
      <c r="A66" s="8">
        <v>3.0</v>
      </c>
      <c r="B66" s="21">
        <v>0.182971079965302</v>
      </c>
      <c r="C66" s="21">
        <v>0.389488533235828</v>
      </c>
      <c r="D66" s="22">
        <v>0.0609910919668974</v>
      </c>
      <c r="L66" s="8">
        <v>13.5</v>
      </c>
      <c r="M66" s="9">
        <f t="shared" si="1"/>
        <v>3655.803937</v>
      </c>
      <c r="N66" s="9">
        <f t="shared" si="2"/>
        <v>329.672025</v>
      </c>
      <c r="O66" s="9">
        <f t="shared" si="3"/>
        <v>636.7325203</v>
      </c>
      <c r="P66" s="2">
        <v>2.3</v>
      </c>
      <c r="Q66" s="21">
        <f t="shared" si="4"/>
        <v>0.1128936522</v>
      </c>
      <c r="R66" s="21">
        <f t="shared" si="5"/>
        <v>0.2654467589</v>
      </c>
      <c r="S66" s="21">
        <f t="shared" si="6"/>
        <v>0.04908451001</v>
      </c>
      <c r="T66" s="9">
        <f t="shared" si="7"/>
        <v>11.08928571</v>
      </c>
      <c r="U66" s="23">
        <f t="shared" si="8"/>
        <v>105.8948782</v>
      </c>
    </row>
    <row r="67" ht="15.75" customHeight="1">
      <c r="A67" s="8">
        <v>3.1</v>
      </c>
      <c r="B67" s="21">
        <v>0.191221226119816</v>
      </c>
      <c r="C67" s="21">
        <v>0.406315218840835</v>
      </c>
      <c r="D67" s="22">
        <v>0.0616844798501793</v>
      </c>
      <c r="L67" s="8">
        <v>14.0</v>
      </c>
      <c r="M67" s="9">
        <f t="shared" si="1"/>
        <v>3690.791475</v>
      </c>
      <c r="N67" s="9">
        <f t="shared" si="2"/>
        <v>335.528725</v>
      </c>
      <c r="O67" s="9">
        <f t="shared" si="3"/>
        <v>639.595775</v>
      </c>
      <c r="P67" s="2">
        <v>2.2</v>
      </c>
      <c r="Q67" s="21">
        <f t="shared" si="4"/>
        <v>0.1021935143</v>
      </c>
      <c r="R67" s="21">
        <f t="shared" si="5"/>
        <v>0.2479347766</v>
      </c>
      <c r="S67" s="21">
        <f t="shared" si="6"/>
        <v>0.04645190577</v>
      </c>
      <c r="T67" s="9">
        <f t="shared" si="7"/>
        <v>11</v>
      </c>
      <c r="U67" s="23">
        <f t="shared" si="8"/>
        <v>105.0422624</v>
      </c>
    </row>
    <row r="68" ht="15.75" customHeight="1">
      <c r="A68" s="8">
        <v>3.2</v>
      </c>
      <c r="B68" s="21">
        <v>0.19882436964106</v>
      </c>
      <c r="C68" s="21">
        <v>0.422743089876352</v>
      </c>
      <c r="D68" s="22">
        <v>0.0621313594589026</v>
      </c>
      <c r="L68" s="8">
        <v>14.5</v>
      </c>
      <c r="M68" s="9">
        <f t="shared" si="1"/>
        <v>3676.839434</v>
      </c>
      <c r="N68" s="9">
        <f t="shared" si="2"/>
        <v>338.1056531</v>
      </c>
      <c r="O68" s="9">
        <f t="shared" si="3"/>
        <v>638.9550062</v>
      </c>
      <c r="P68" s="2">
        <v>2.1</v>
      </c>
      <c r="Q68" s="21">
        <f t="shared" si="4"/>
        <v>0.09163441058</v>
      </c>
      <c r="R68" s="21">
        <f t="shared" si="5"/>
        <v>0.2308990815</v>
      </c>
      <c r="S68" s="21">
        <f t="shared" si="6"/>
        <v>0.04363614025</v>
      </c>
      <c r="T68" s="9">
        <f t="shared" si="7"/>
        <v>10.875</v>
      </c>
      <c r="U68" s="23">
        <f t="shared" si="8"/>
        <v>103.8486004</v>
      </c>
    </row>
    <row r="69" ht="15.75" customHeight="1">
      <c r="A69" s="8">
        <v>3.3</v>
      </c>
      <c r="B69" s="21">
        <v>0.20580906140531</v>
      </c>
      <c r="C69" s="21">
        <v>0.43900430873995</v>
      </c>
      <c r="D69" s="22">
        <v>0.0623662542757706</v>
      </c>
      <c r="L69" s="13">
        <v>15.0</v>
      </c>
      <c r="M69" s="31">
        <f t="shared" si="1"/>
        <v>3613.617773</v>
      </c>
      <c r="N69" s="31">
        <f t="shared" si="2"/>
        <v>337.2720469</v>
      </c>
      <c r="O69" s="31">
        <f t="shared" si="3"/>
        <v>634.651875</v>
      </c>
      <c r="P69" s="11">
        <v>2.0</v>
      </c>
      <c r="Q69" s="32">
        <f t="shared" si="4"/>
        <v>0.08134977742</v>
      </c>
      <c r="R69" s="32">
        <f t="shared" si="5"/>
        <v>0.2143092823</v>
      </c>
      <c r="S69" s="32">
        <f t="shared" si="6"/>
        <v>0.0406750159</v>
      </c>
      <c r="T69" s="31">
        <f t="shared" si="7"/>
        <v>10.71428571</v>
      </c>
      <c r="U69" s="33">
        <f t="shared" si="8"/>
        <v>102.313892</v>
      </c>
    </row>
    <row r="70" ht="15.75" customHeight="1">
      <c r="A70" s="8">
        <v>3.4</v>
      </c>
      <c r="B70" s="21">
        <v>0.212009522817529</v>
      </c>
      <c r="C70" s="21">
        <v>0.454873241921596</v>
      </c>
      <c r="D70" s="22">
        <v>0.062354036091257</v>
      </c>
    </row>
    <row r="71" ht="15.75" customHeight="1">
      <c r="A71" s="8">
        <v>3.5</v>
      </c>
      <c r="B71" s="21">
        <v>0.217537552326817</v>
      </c>
      <c r="C71" s="21">
        <v>0.470293212396423</v>
      </c>
      <c r="D71" s="22">
        <v>0.0621535863790906</v>
      </c>
    </row>
    <row r="72" ht="15.75" customHeight="1">
      <c r="A72" s="8">
        <v>3.6</v>
      </c>
      <c r="B72" s="21">
        <v>0.222295639928907</v>
      </c>
      <c r="C72" s="21">
        <v>0.485506627107352</v>
      </c>
      <c r="D72" s="22">
        <v>0.0617479079236755</v>
      </c>
    </row>
    <row r="73" ht="15.75" customHeight="1">
      <c r="A73" s="8">
        <v>3.7</v>
      </c>
      <c r="B73" s="21">
        <v>0.226107190188862</v>
      </c>
      <c r="C73" s="21">
        <v>0.499715300701864</v>
      </c>
      <c r="D73" s="22">
        <v>0.0611071387063884</v>
      </c>
    </row>
    <row r="74" ht="15.75" customHeight="1">
      <c r="A74" s="8">
        <v>3.8</v>
      </c>
      <c r="B74" s="21">
        <v>0.228953291373262</v>
      </c>
      <c r="C74" s="21">
        <v>0.513153817187509</v>
      </c>
      <c r="D74" s="22">
        <v>0.0602488658048549</v>
      </c>
    </row>
    <row r="75" ht="15.75" customHeight="1">
      <c r="A75" s="8">
        <v>3.9</v>
      </c>
      <c r="B75" s="21">
        <v>0.230875813213283</v>
      </c>
      <c r="C75" s="21">
        <v>0.526106428170936</v>
      </c>
      <c r="D75" s="22">
        <v>0.0592004397632838</v>
      </c>
    </row>
    <row r="76" ht="15.75" customHeight="1">
      <c r="A76" s="8">
        <v>4.0</v>
      </c>
      <c r="B76" s="21">
        <v>0.231816041126286</v>
      </c>
      <c r="C76" s="21">
        <v>0.538195004929173</v>
      </c>
      <c r="D76" s="22">
        <v>0.057955282234917</v>
      </c>
    </row>
    <row r="77" ht="15.75" customHeight="1">
      <c r="A77" s="8">
        <v>4.1</v>
      </c>
      <c r="B77" s="21">
        <v>0.231795859466537</v>
      </c>
      <c r="C77" s="21">
        <v>0.549759808259105</v>
      </c>
      <c r="D77" s="22">
        <v>0.0565351039262078</v>
      </c>
    </row>
    <row r="78" ht="15.75" customHeight="1">
      <c r="A78" s="8">
        <v>4.2</v>
      </c>
      <c r="B78" s="21">
        <v>0.23074348547097</v>
      </c>
      <c r="C78" s="21">
        <v>0.560542170485161</v>
      </c>
      <c r="D78" s="22">
        <v>0.0549407832113124</v>
      </c>
    </row>
    <row r="79" ht="15.75" customHeight="1">
      <c r="A79" s="8">
        <v>4.3</v>
      </c>
      <c r="B79" s="21">
        <v>0.228744593052096</v>
      </c>
      <c r="C79" s="21">
        <v>0.570847729057143</v>
      </c>
      <c r="D79" s="22">
        <v>0.0531965348387017</v>
      </c>
    </row>
    <row r="80" ht="15.75" customHeight="1">
      <c r="A80" s="8">
        <v>4.4</v>
      </c>
      <c r="B80" s="21">
        <v>0.225657868024312</v>
      </c>
      <c r="C80" s="21">
        <v>0.580353494176226</v>
      </c>
      <c r="D80" s="22">
        <v>0.051284381867759</v>
      </c>
    </row>
    <row r="81" ht="15.75" customHeight="1">
      <c r="A81" s="8">
        <v>4.5</v>
      </c>
      <c r="B81" s="21">
        <v>0.221613618545043</v>
      </c>
      <c r="C81" s="21">
        <v>0.589373794601783</v>
      </c>
      <c r="D81" s="22">
        <v>0.0492463024750848</v>
      </c>
    </row>
    <row r="82" ht="15.75" customHeight="1">
      <c r="A82" s="8">
        <v>4.6</v>
      </c>
      <c r="B82" s="21">
        <v>0.216646555933928</v>
      </c>
      <c r="C82" s="21">
        <v>0.597777912583763</v>
      </c>
      <c r="D82" s="22">
        <v>0.0470972101025074</v>
      </c>
    </row>
    <row r="83" ht="15.75" customHeight="1">
      <c r="A83" s="8">
        <v>4.7</v>
      </c>
      <c r="B83" s="21">
        <v>0.210756926135731</v>
      </c>
      <c r="C83" s="21">
        <v>0.605811615048936</v>
      </c>
      <c r="D83" s="22">
        <v>0.0448371155607858</v>
      </c>
    </row>
    <row r="84" ht="15.75" customHeight="1">
      <c r="A84" s="8">
        <v>4.8</v>
      </c>
      <c r="B84" s="21">
        <v>0.203973660768142</v>
      </c>
      <c r="C84" s="21">
        <v>0.613547624080179</v>
      </c>
      <c r="D84" s="22">
        <v>0.0424967753237031</v>
      </c>
    </row>
    <row r="85" ht="15.75" customHeight="1">
      <c r="A85" s="8">
        <v>4.9</v>
      </c>
      <c r="B85" s="21">
        <v>0.196399009001838</v>
      </c>
      <c r="C85" s="21">
        <v>0.620871904549952</v>
      </c>
      <c r="D85" s="22">
        <v>0.0400817768644019</v>
      </c>
    </row>
    <row r="86" ht="15.75" customHeight="1">
      <c r="A86" s="8">
        <v>5.0</v>
      </c>
      <c r="B86" s="21">
        <v>0.188027181675456</v>
      </c>
      <c r="C86" s="21">
        <v>0.62780679770222</v>
      </c>
      <c r="D86" s="22">
        <v>0.0376053345788235</v>
      </c>
    </row>
    <row r="87" ht="15.75" customHeight="1">
      <c r="A87" s="8">
        <v>5.1</v>
      </c>
      <c r="B87" s="21">
        <v>0.178848087959122</v>
      </c>
      <c r="C87" s="21">
        <v>0.634277750111557</v>
      </c>
      <c r="D87" s="22">
        <v>0.0350678554920385</v>
      </c>
    </row>
    <row r="88" ht="15.75" customHeight="1">
      <c r="A88" s="8">
        <v>5.2</v>
      </c>
      <c r="B88" s="21">
        <v>0.168919898519172</v>
      </c>
      <c r="C88" s="21">
        <v>0.64047423194831</v>
      </c>
      <c r="D88" s="22">
        <v>0.0324844504097915</v>
      </c>
    </row>
    <row r="89" ht="15.75" customHeight="1">
      <c r="A89" s="8">
        <v>5.3</v>
      </c>
      <c r="B89" s="21">
        <v>0.158347042921206</v>
      </c>
      <c r="C89" s="21">
        <v>0.646394865921802</v>
      </c>
      <c r="D89" s="22">
        <v>0.0298761908524188</v>
      </c>
    </row>
    <row r="90" ht="15.75" customHeight="1">
      <c r="A90" s="8">
        <v>5.4</v>
      </c>
      <c r="B90" s="21">
        <v>0.147138901593109</v>
      </c>
      <c r="C90" s="21">
        <v>0.652125935130807</v>
      </c>
      <c r="D90" s="22">
        <v>0.0272477506488061</v>
      </c>
    </row>
    <row r="91" ht="15.75" customHeight="1">
      <c r="A91" s="8">
        <v>5.5</v>
      </c>
      <c r="B91" s="21">
        <v>0.135348014958009</v>
      </c>
      <c r="C91" s="21">
        <v>0.657634068654649</v>
      </c>
      <c r="D91" s="22">
        <v>0.0246086317127394</v>
      </c>
    </row>
    <row r="92" ht="15.75" customHeight="1">
      <c r="A92" s="8">
        <v>5.6</v>
      </c>
      <c r="B92" s="21">
        <v>0.122993251708991</v>
      </c>
      <c r="C92" s="21">
        <v>0.662993299650983</v>
      </c>
      <c r="D92" s="22">
        <v>0.0219630025376954</v>
      </c>
    </row>
    <row r="93" ht="15.75" customHeight="1">
      <c r="A93" s="8">
        <v>5.7</v>
      </c>
      <c r="B93" s="21">
        <v>0.110094631276856</v>
      </c>
      <c r="C93" s="21">
        <v>0.668194558433676</v>
      </c>
      <c r="D93" s="22">
        <v>0.0193145862138864</v>
      </c>
    </row>
    <row r="94" ht="15.75" customHeight="1">
      <c r="A94" s="8">
        <v>5.8</v>
      </c>
      <c r="B94" s="21">
        <v>0.0966765014837583</v>
      </c>
      <c r="C94" s="21">
        <v>0.673251146830679</v>
      </c>
      <c r="D94" s="22">
        <v>0.0166685585272445</v>
      </c>
    </row>
    <row r="95" ht="15.75" customHeight="1">
      <c r="A95" s="8">
        <v>5.9</v>
      </c>
      <c r="B95" s="21">
        <v>0.0827210381924012</v>
      </c>
      <c r="C95" s="21">
        <v>0.678190794168167</v>
      </c>
      <c r="D95" s="22">
        <v>0.0140204055805479</v>
      </c>
    </row>
    <row r="96" ht="15.75" customHeight="1">
      <c r="A96" s="8">
        <v>6.0</v>
      </c>
      <c r="B96" s="21">
        <v>0.0683093386143229</v>
      </c>
      <c r="C96" s="21">
        <v>0.683034740614312</v>
      </c>
      <c r="D96" s="22">
        <v>0.0113847116955854</v>
      </c>
    </row>
    <row r="97" ht="15.75" customHeight="1">
      <c r="A97" s="8">
        <v>6.1</v>
      </c>
      <c r="B97" s="21">
        <v>0.0533826269171786</v>
      </c>
      <c r="C97" s="21">
        <v>0.687747751743883</v>
      </c>
      <c r="D97" s="22">
        <v>0.00875110685463557</v>
      </c>
    </row>
    <row r="98" ht="15.75" customHeight="1">
      <c r="A98" s="8">
        <v>6.2</v>
      </c>
      <c r="B98" s="21">
        <v>0.0379929835600908</v>
      </c>
      <c r="C98" s="21">
        <v>0.69234964502919</v>
      </c>
      <c r="D98" s="22">
        <v>0.006127898112363</v>
      </c>
    </row>
    <row r="99" ht="15.75" customHeight="1">
      <c r="A99" s="8">
        <v>6.3</v>
      </c>
      <c r="B99" s="21">
        <v>0.0221502820428972</v>
      </c>
      <c r="C99" s="21">
        <v>0.696988541650145</v>
      </c>
      <c r="D99" s="22">
        <v>0.00351599154549357</v>
      </c>
    </row>
    <row r="100" ht="15.75" customHeight="1">
      <c r="A100" s="8">
        <v>6.4</v>
      </c>
      <c r="B100" s="21">
        <v>0.00582116232324826</v>
      </c>
      <c r="C100" s="21">
        <v>0.701609465384519</v>
      </c>
      <c r="D100" s="22">
        <v>9.09551790184438E-4</v>
      </c>
    </row>
    <row r="101" ht="15.75" customHeight="1">
      <c r="A101" s="8">
        <v>6.5</v>
      </c>
      <c r="B101" s="21">
        <v>-0.0109510216856254</v>
      </c>
      <c r="C101" s="21">
        <v>0.706358091207764</v>
      </c>
      <c r="D101" s="22">
        <v>-0.00168477399632635</v>
      </c>
    </row>
    <row r="102" ht="15.75" customHeight="1">
      <c r="A102" s="8">
        <v>6.6</v>
      </c>
      <c r="B102" s="21">
        <v>-0.028163802968555</v>
      </c>
      <c r="C102" s="21">
        <v>0.711155627876989</v>
      </c>
      <c r="D102" s="22">
        <v>-0.00426730171792573</v>
      </c>
    </row>
    <row r="103" ht="15.75" customHeight="1">
      <c r="A103" s="8">
        <v>6.7</v>
      </c>
      <c r="B103" s="21">
        <v>-0.0457932596134998</v>
      </c>
      <c r="C103" s="21">
        <v>0.716018990716291</v>
      </c>
      <c r="D103" s="22">
        <v>-0.00683479822799243</v>
      </c>
    </row>
    <row r="104" ht="15.75" customHeight="1">
      <c r="A104" s="8">
        <v>6.8</v>
      </c>
      <c r="B104" s="21">
        <v>-0.0638443838261936</v>
      </c>
      <c r="C104" s="21">
        <v>0.720948244049686</v>
      </c>
      <c r="D104" s="22">
        <v>-0.00938883034331949</v>
      </c>
      <c r="H104" s="34" t="s">
        <v>44</v>
      </c>
    </row>
    <row r="105" ht="15.75" customHeight="1">
      <c r="A105" s="8">
        <v>6.9</v>
      </c>
      <c r="B105" s="21">
        <v>-0.0823373407124104</v>
      </c>
      <c r="C105" s="21">
        <v>0.725901240512197</v>
      </c>
      <c r="D105" s="22">
        <v>-0.01193300007362</v>
      </c>
    </row>
    <row r="106" ht="15.75" customHeight="1">
      <c r="A106" s="8">
        <v>7.0</v>
      </c>
      <c r="B106" s="21">
        <v>-0.101290281705171</v>
      </c>
      <c r="C106" s="21">
        <v>0.730900067835491</v>
      </c>
      <c r="D106" s="22">
        <v>-0.0144700149058799</v>
      </c>
      <c r="H106" s="35" t="s">
        <v>45</v>
      </c>
    </row>
    <row r="107" ht="15.75" customHeight="1">
      <c r="A107" s="8">
        <v>7.1</v>
      </c>
      <c r="B107" s="21">
        <v>-0.120761362099264</v>
      </c>
      <c r="C107" s="21">
        <v>0.735901260012285</v>
      </c>
      <c r="D107" s="22">
        <v>-0.0170087020273987</v>
      </c>
      <c r="H107" s="2" t="s">
        <v>46</v>
      </c>
      <c r="I107" s="2">
        <v>3.0</v>
      </c>
      <c r="J107" s="2" t="s">
        <v>47</v>
      </c>
      <c r="K107" s="2" t="s">
        <v>48</v>
      </c>
      <c r="L107" s="2">
        <f>0.5*9.8</f>
        <v>4.9</v>
      </c>
    </row>
    <row r="108" ht="15.75" customHeight="1">
      <c r="A108" s="8">
        <v>7.2</v>
      </c>
      <c r="B108" s="21">
        <v>-0.140733318464154</v>
      </c>
      <c r="C108" s="21">
        <v>0.740872655035006</v>
      </c>
      <c r="D108" s="22">
        <v>-0.0195464263157079</v>
      </c>
      <c r="H108" s="2" t="s">
        <v>49</v>
      </c>
      <c r="I108" s="2">
        <v>1.2</v>
      </c>
      <c r="K108" s="2" t="s">
        <v>50</v>
      </c>
      <c r="L108" s="36">
        <v>0.6</v>
      </c>
    </row>
    <row r="109" ht="15.75" customHeight="1">
      <c r="A109" s="8">
        <v>7.3</v>
      </c>
      <c r="B109" s="21">
        <v>-0.161177772557872</v>
      </c>
      <c r="C109" s="21">
        <v>0.745919252398955</v>
      </c>
      <c r="D109" s="22">
        <v>-0.0220789817099436</v>
      </c>
      <c r="H109" s="2" t="s">
        <v>51</v>
      </c>
      <c r="I109" s="2">
        <v>0.2</v>
      </c>
    </row>
    <row r="110" ht="15.75" customHeight="1">
      <c r="A110" s="8">
        <v>7.4</v>
      </c>
      <c r="B110" s="21">
        <v>-0.18214482143691</v>
      </c>
      <c r="C110" s="21">
        <v>0.750939140161557</v>
      </c>
      <c r="D110" s="22">
        <v>-0.0246136879046518</v>
      </c>
      <c r="H110" s="2" t="s">
        <v>19</v>
      </c>
      <c r="I110" s="2">
        <v>1.225</v>
      </c>
      <c r="J110" s="2" t="s">
        <v>20</v>
      </c>
    </row>
    <row r="111" ht="15.75" customHeight="1">
      <c r="A111" s="8">
        <v>7.5</v>
      </c>
      <c r="B111" s="21">
        <v>-0.203644038028228</v>
      </c>
      <c r="C111" s="21">
        <v>0.75597129867599</v>
      </c>
      <c r="D111" s="22">
        <v>-0.0271517275968503</v>
      </c>
    </row>
    <row r="112" ht="15.75" customHeight="1">
      <c r="A112" s="8">
        <v>7.6</v>
      </c>
      <c r="B112" s="21">
        <v>-0.225637485352016</v>
      </c>
      <c r="C112" s="21">
        <v>0.761030444898536</v>
      </c>
      <c r="D112" s="22">
        <v>-0.0296895618846306</v>
      </c>
      <c r="H112" s="35" t="s">
        <v>33</v>
      </c>
      <c r="I112" s="35" t="s">
        <v>52</v>
      </c>
      <c r="J112" s="35" t="s">
        <v>53</v>
      </c>
      <c r="K112" s="35" t="s">
        <v>54</v>
      </c>
      <c r="L112" s="35" t="s">
        <v>55</v>
      </c>
      <c r="M112" s="35" t="s">
        <v>56</v>
      </c>
    </row>
    <row r="113" ht="15.75" customHeight="1">
      <c r="A113" s="8">
        <v>7.7</v>
      </c>
      <c r="B113" s="21">
        <v>-0.248200833990491</v>
      </c>
      <c r="C113" s="21">
        <v>0.766072060935076</v>
      </c>
      <c r="D113" s="22">
        <v>-0.0322338822223154</v>
      </c>
      <c r="H113" s="2">
        <v>4.0</v>
      </c>
      <c r="I113" s="9">
        <f t="shared" ref="I113:I136" si="9">0.5*$I$110*$I$107*(H113^2)*$I$108</f>
        <v>35.28</v>
      </c>
      <c r="J113" s="9">
        <f t="shared" ref="J113:J136" si="10">0.5*$I$110*$I$107*(H113^2)*$I$109</f>
        <v>5.88</v>
      </c>
      <c r="K113" s="9">
        <f t="shared" ref="K113:K136" si="11">I113-$L$107</f>
        <v>30.38</v>
      </c>
      <c r="L113" s="9">
        <f t="shared" ref="L113:L136" si="12">SQRT(J113^2+K113^2)</f>
        <v>30.94380067</v>
      </c>
      <c r="M113" s="9">
        <f t="shared" ref="M113:M136" si="13">L113*$L$108</f>
        <v>18.5662804</v>
      </c>
    </row>
    <row r="114" ht="15.75" customHeight="1">
      <c r="A114" s="8">
        <v>7.8</v>
      </c>
      <c r="B114" s="21">
        <v>-0.271349202452064</v>
      </c>
      <c r="C114" s="21">
        <v>0.771058118049484</v>
      </c>
      <c r="D114" s="22">
        <v>-0.0347883462950256</v>
      </c>
      <c r="H114" s="2">
        <v>4.5</v>
      </c>
      <c r="I114" s="9">
        <f t="shared" si="9"/>
        <v>44.65125</v>
      </c>
      <c r="J114" s="9">
        <f t="shared" si="10"/>
        <v>7.441875</v>
      </c>
      <c r="K114" s="9">
        <f t="shared" si="11"/>
        <v>39.75125</v>
      </c>
      <c r="L114" s="9">
        <f t="shared" si="12"/>
        <v>40.44185184</v>
      </c>
      <c r="M114" s="9">
        <f t="shared" si="13"/>
        <v>24.2651111</v>
      </c>
    </row>
    <row r="115" ht="15.75" customHeight="1">
      <c r="A115" s="8">
        <v>7.9</v>
      </c>
      <c r="B115" s="21">
        <v>-0.295009566425581</v>
      </c>
      <c r="C115" s="21">
        <v>0.776141996855851</v>
      </c>
      <c r="D115" s="22">
        <v>-0.0373427694895539</v>
      </c>
      <c r="H115" s="2">
        <v>5.0</v>
      </c>
      <c r="I115" s="9">
        <f t="shared" si="9"/>
        <v>55.125</v>
      </c>
      <c r="J115" s="9">
        <f t="shared" si="10"/>
        <v>9.1875</v>
      </c>
      <c r="K115" s="9">
        <f t="shared" si="11"/>
        <v>50.225</v>
      </c>
      <c r="L115" s="9">
        <f t="shared" si="12"/>
        <v>51.05840559</v>
      </c>
      <c r="M115" s="9">
        <f t="shared" si="13"/>
        <v>30.63504335</v>
      </c>
    </row>
    <row r="116" ht="15.75" customHeight="1">
      <c r="A116" s="8">
        <v>8.0</v>
      </c>
      <c r="B116" s="21">
        <v>-0.319192553562661</v>
      </c>
      <c r="C116" s="21">
        <v>0.781276650012752</v>
      </c>
      <c r="D116" s="22">
        <v>-0.0398989129460837</v>
      </c>
      <c r="H116" s="2">
        <v>5.5</v>
      </c>
      <c r="I116" s="9">
        <f t="shared" si="9"/>
        <v>66.70125</v>
      </c>
      <c r="J116" s="9">
        <f t="shared" si="10"/>
        <v>11.116875</v>
      </c>
      <c r="K116" s="9">
        <f t="shared" si="11"/>
        <v>61.80125</v>
      </c>
      <c r="L116" s="9">
        <f t="shared" si="12"/>
        <v>62.79314781</v>
      </c>
      <c r="M116" s="9">
        <f t="shared" si="13"/>
        <v>37.67588868</v>
      </c>
    </row>
    <row r="117" ht="15.75" customHeight="1">
      <c r="A117" s="8">
        <v>8.1</v>
      </c>
      <c r="B117" s="21">
        <v>-0.343957807833367</v>
      </c>
      <c r="C117" s="21">
        <v>0.786383833031427</v>
      </c>
      <c r="D117" s="22">
        <v>-0.0424620933958155</v>
      </c>
      <c r="H117" s="2">
        <v>6.0</v>
      </c>
      <c r="I117" s="9">
        <f t="shared" si="9"/>
        <v>79.38</v>
      </c>
      <c r="J117" s="9">
        <f t="shared" si="10"/>
        <v>13.23</v>
      </c>
      <c r="K117" s="9">
        <f t="shared" si="11"/>
        <v>74.48</v>
      </c>
      <c r="L117" s="9">
        <f t="shared" si="12"/>
        <v>75.64590736</v>
      </c>
      <c r="M117" s="9">
        <f t="shared" si="13"/>
        <v>45.38754441</v>
      </c>
    </row>
    <row r="118" ht="15.75" customHeight="1">
      <c r="A118" s="8">
        <v>8.2</v>
      </c>
      <c r="B118" s="21">
        <v>-0.369301223852028</v>
      </c>
      <c r="C118" s="21">
        <v>0.79148338230301</v>
      </c>
      <c r="D118" s="22">
        <v>-0.0450378328392335</v>
      </c>
      <c r="H118" s="2">
        <v>6.5</v>
      </c>
      <c r="I118" s="9">
        <f t="shared" si="9"/>
        <v>93.16125</v>
      </c>
      <c r="J118" s="9">
        <f t="shared" si="10"/>
        <v>15.526875</v>
      </c>
      <c r="K118" s="9">
        <f t="shared" si="11"/>
        <v>88.26125</v>
      </c>
      <c r="L118" s="9">
        <f t="shared" si="12"/>
        <v>89.61658384</v>
      </c>
      <c r="M118" s="9">
        <f t="shared" si="13"/>
        <v>53.7699503</v>
      </c>
    </row>
    <row r="119" ht="15.75" customHeight="1">
      <c r="A119" s="8">
        <v>8.3</v>
      </c>
      <c r="B119" s="21">
        <v>-0.395222593511536</v>
      </c>
      <c r="C119" s="21">
        <v>0.796607995237902</v>
      </c>
      <c r="D119" s="22">
        <v>-0.0476166630110385</v>
      </c>
      <c r="H119" s="2">
        <v>7.0</v>
      </c>
      <c r="I119" s="9">
        <f t="shared" si="9"/>
        <v>108.045</v>
      </c>
      <c r="J119" s="9">
        <f t="shared" si="10"/>
        <v>18.0075</v>
      </c>
      <c r="K119" s="9">
        <f t="shared" si="11"/>
        <v>103.145</v>
      </c>
      <c r="L119" s="9">
        <f t="shared" si="12"/>
        <v>104.7051149</v>
      </c>
      <c r="M119" s="9">
        <f t="shared" si="13"/>
        <v>62.82306893</v>
      </c>
    </row>
    <row r="120" ht="15.75" customHeight="1">
      <c r="A120" s="8">
        <v>8.4</v>
      </c>
      <c r="B120" s="21">
        <v>-0.421793127280412</v>
      </c>
      <c r="C120" s="21">
        <v>0.801680581395847</v>
      </c>
      <c r="D120" s="22">
        <v>-0.0502129870176741</v>
      </c>
      <c r="H120" s="2">
        <v>7.5</v>
      </c>
      <c r="I120" s="9">
        <f t="shared" si="9"/>
        <v>124.03125</v>
      </c>
      <c r="J120" s="9">
        <f t="shared" si="10"/>
        <v>20.671875</v>
      </c>
      <c r="K120" s="9">
        <f t="shared" si="11"/>
        <v>119.13125</v>
      </c>
      <c r="L120" s="9">
        <f t="shared" si="12"/>
        <v>120.9114599</v>
      </c>
      <c r="M120" s="9">
        <f t="shared" si="13"/>
        <v>72.54687596</v>
      </c>
    </row>
    <row r="121" ht="15.75" customHeight="1">
      <c r="A121" s="8">
        <v>8.5</v>
      </c>
      <c r="B121" s="21">
        <v>-0.448989694526595</v>
      </c>
      <c r="C121" s="21">
        <v>0.806710325867829</v>
      </c>
      <c r="D121" s="22">
        <v>-0.0528218481262092</v>
      </c>
      <c r="H121" s="2">
        <v>8.0</v>
      </c>
      <c r="I121" s="9">
        <f t="shared" si="9"/>
        <v>141.12</v>
      </c>
      <c r="J121" s="9">
        <f t="shared" si="10"/>
        <v>23.52</v>
      </c>
      <c r="K121" s="9">
        <f t="shared" si="11"/>
        <v>136.22</v>
      </c>
      <c r="L121" s="9">
        <f t="shared" si="12"/>
        <v>138.2355917</v>
      </c>
      <c r="M121" s="9">
        <f t="shared" si="13"/>
        <v>82.94135499</v>
      </c>
    </row>
    <row r="122" ht="15.75" customHeight="1">
      <c r="A122" s="8">
        <v>8.6</v>
      </c>
      <c r="B122" s="21">
        <v>-0.476816542526966</v>
      </c>
      <c r="C122" s="21">
        <v>0.811719409087772</v>
      </c>
      <c r="D122" s="22">
        <v>-0.0554409497260616</v>
      </c>
      <c r="H122" s="2">
        <v>8.5</v>
      </c>
      <c r="I122" s="9">
        <f t="shared" si="9"/>
        <v>159.31125</v>
      </c>
      <c r="J122" s="9">
        <f t="shared" si="10"/>
        <v>26.551875</v>
      </c>
      <c r="K122" s="9">
        <f t="shared" si="11"/>
        <v>154.41125</v>
      </c>
      <c r="L122" s="9">
        <f t="shared" si="12"/>
        <v>156.677491</v>
      </c>
      <c r="M122" s="9">
        <f t="shared" si="13"/>
        <v>94.00649461</v>
      </c>
    </row>
    <row r="123" ht="15.75" customHeight="1">
      <c r="A123" s="8">
        <v>8.7</v>
      </c>
      <c r="B123" s="21">
        <v>-0.505289378638458</v>
      </c>
      <c r="C123" s="21">
        <v>0.816699317583086</v>
      </c>
      <c r="D123" s="22">
        <v>-0.0580786059664564</v>
      </c>
      <c r="H123" s="2">
        <v>9.0</v>
      </c>
      <c r="I123" s="9">
        <f t="shared" si="9"/>
        <v>178.605</v>
      </c>
      <c r="J123" s="9">
        <f t="shared" si="10"/>
        <v>29.7675</v>
      </c>
      <c r="K123" s="9">
        <f t="shared" si="11"/>
        <v>173.705</v>
      </c>
      <c r="L123" s="9">
        <f t="shared" si="12"/>
        <v>176.2371444</v>
      </c>
      <c r="M123" s="9">
        <f t="shared" si="13"/>
        <v>105.7422867</v>
      </c>
    </row>
    <row r="124" ht="15.75" customHeight="1">
      <c r="A124" s="8">
        <v>8.8</v>
      </c>
      <c r="B124" s="21">
        <v>-0.534452494202227</v>
      </c>
      <c r="C124" s="21">
        <v>0.821571625244257</v>
      </c>
      <c r="D124" s="22">
        <v>-0.0607344154979714</v>
      </c>
      <c r="H124" s="2">
        <v>9.5</v>
      </c>
      <c r="I124" s="9">
        <f t="shared" si="9"/>
        <v>199.00125</v>
      </c>
      <c r="J124" s="9">
        <f t="shared" si="10"/>
        <v>33.166875</v>
      </c>
      <c r="K124" s="9">
        <f t="shared" si="11"/>
        <v>194.10125</v>
      </c>
      <c r="L124" s="9">
        <f t="shared" si="12"/>
        <v>196.914542</v>
      </c>
      <c r="M124" s="9">
        <f t="shared" si="13"/>
        <v>118.1487252</v>
      </c>
    </row>
    <row r="125" ht="15.75" customHeight="1">
      <c r="A125" s="8">
        <v>8.9</v>
      </c>
      <c r="B125" s="21">
        <v>-0.564288110249678</v>
      </c>
      <c r="C125" s="21">
        <v>0.826396229080675</v>
      </c>
      <c r="D125" s="22">
        <v>-0.0634050087422088</v>
      </c>
      <c r="H125" s="2">
        <v>10.0</v>
      </c>
      <c r="I125" s="9">
        <f t="shared" si="9"/>
        <v>220.5</v>
      </c>
      <c r="J125" s="9">
        <f t="shared" si="10"/>
        <v>36.75</v>
      </c>
      <c r="K125" s="9">
        <f t="shared" si="11"/>
        <v>215.6</v>
      </c>
      <c r="L125" s="9">
        <f t="shared" si="12"/>
        <v>218.7096763</v>
      </c>
      <c r="M125" s="9">
        <f t="shared" si="13"/>
        <v>131.2258058</v>
      </c>
    </row>
    <row r="126" ht="15.75" customHeight="1">
      <c r="A126" s="8">
        <v>9.0</v>
      </c>
      <c r="B126" s="21">
        <v>-0.594817411138444</v>
      </c>
      <c r="C126" s="21">
        <v>0.83115661295551</v>
      </c>
      <c r="D126" s="22">
        <v>-0.0660905606983273</v>
      </c>
      <c r="H126" s="2">
        <v>10.5</v>
      </c>
      <c r="I126" s="9">
        <f t="shared" si="9"/>
        <v>243.10125</v>
      </c>
      <c r="J126" s="9">
        <f t="shared" si="10"/>
        <v>40.516875</v>
      </c>
      <c r="K126" s="9">
        <f t="shared" si="11"/>
        <v>238.20125</v>
      </c>
      <c r="L126" s="9">
        <f t="shared" si="12"/>
        <v>241.6225417</v>
      </c>
      <c r="M126" s="9">
        <f t="shared" si="13"/>
        <v>144.973525</v>
      </c>
    </row>
    <row r="127">
      <c r="A127" s="8">
        <v>9.1</v>
      </c>
      <c r="B127" s="21">
        <v>-0.626042208346302</v>
      </c>
      <c r="C127" s="21">
        <v>0.835815603263664</v>
      </c>
      <c r="D127" s="22">
        <v>-0.0687938510826954</v>
      </c>
      <c r="H127" s="2">
        <v>10.9</v>
      </c>
      <c r="I127" s="9">
        <f t="shared" si="9"/>
        <v>261.97605</v>
      </c>
      <c r="J127" s="9">
        <f t="shared" si="10"/>
        <v>43.662675</v>
      </c>
      <c r="K127" s="9">
        <f t="shared" si="11"/>
        <v>257.07605</v>
      </c>
      <c r="L127" s="9">
        <f t="shared" si="12"/>
        <v>260.7575975</v>
      </c>
      <c r="M127" s="9">
        <f t="shared" si="13"/>
        <v>156.4545585</v>
      </c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ht="15.75" customHeight="1">
      <c r="A128" s="8">
        <v>9.2</v>
      </c>
      <c r="B128" s="21">
        <v>-0.657961283973702</v>
      </c>
      <c r="C128" s="21">
        <v>0.84042509435029</v>
      </c>
      <c r="D128" s="22">
        <v>-0.0715171879923267</v>
      </c>
      <c r="H128" s="2">
        <v>11.0</v>
      </c>
      <c r="I128" s="9">
        <f t="shared" si="9"/>
        <v>266.805</v>
      </c>
      <c r="J128" s="9">
        <f t="shared" si="10"/>
        <v>44.4675</v>
      </c>
      <c r="K128" s="9">
        <f t="shared" si="11"/>
        <v>261.905</v>
      </c>
      <c r="L128" s="9">
        <f t="shared" si="12"/>
        <v>265.653134</v>
      </c>
      <c r="M128" s="9">
        <f t="shared" si="13"/>
        <v>159.3918804</v>
      </c>
      <c r="N128" s="9"/>
      <c r="O128" s="9"/>
      <c r="P128" s="9"/>
      <c r="Q128" s="9"/>
      <c r="R128" s="9"/>
      <c r="S128" s="9"/>
      <c r="T128" s="9"/>
    </row>
    <row r="129" ht="15.75" customHeight="1">
      <c r="A129" s="8">
        <v>9.3</v>
      </c>
      <c r="B129" s="21">
        <v>-0.690592059896362</v>
      </c>
      <c r="C129" s="21">
        <v>0.844952909072753</v>
      </c>
      <c r="D129" s="22">
        <v>-0.0742586714363539</v>
      </c>
      <c r="H129" s="2">
        <v>11.5</v>
      </c>
      <c r="I129" s="9">
        <f t="shared" si="9"/>
        <v>291.61125</v>
      </c>
      <c r="J129" s="9">
        <f t="shared" si="10"/>
        <v>48.601875</v>
      </c>
      <c r="K129" s="9">
        <f t="shared" si="11"/>
        <v>286.71125</v>
      </c>
      <c r="L129" s="9">
        <f t="shared" si="12"/>
        <v>290.8014497</v>
      </c>
      <c r="M129" s="9">
        <f t="shared" si="13"/>
        <v>174.4808698</v>
      </c>
    </row>
    <row r="130" ht="15.75" customHeight="1">
      <c r="A130" s="8">
        <v>9.4</v>
      </c>
      <c r="B130" s="21">
        <v>-0.723919103080354</v>
      </c>
      <c r="C130" s="21">
        <v>0.849398097705894</v>
      </c>
      <c r="D130" s="22">
        <v>-0.0770149095391891</v>
      </c>
      <c r="H130" s="2">
        <v>12.0</v>
      </c>
      <c r="I130" s="9">
        <f t="shared" si="9"/>
        <v>317.52</v>
      </c>
      <c r="J130" s="9">
        <f t="shared" si="10"/>
        <v>52.92</v>
      </c>
      <c r="K130" s="9">
        <f t="shared" si="11"/>
        <v>312.62</v>
      </c>
      <c r="L130" s="9">
        <f t="shared" si="12"/>
        <v>317.0674862</v>
      </c>
      <c r="M130" s="9">
        <f t="shared" si="13"/>
        <v>190.2404917</v>
      </c>
    </row>
    <row r="131" ht="15.75" customHeight="1">
      <c r="A131" s="8">
        <v>9.5</v>
      </c>
      <c r="B131" s="21">
        <v>-0.757973279593531</v>
      </c>
      <c r="C131" s="21">
        <v>0.853788677142066</v>
      </c>
      <c r="D131" s="22">
        <v>-0.0797865806759499</v>
      </c>
      <c r="H131" s="2">
        <v>12.5</v>
      </c>
      <c r="I131" s="9">
        <f t="shared" si="9"/>
        <v>344.53125</v>
      </c>
      <c r="J131" s="9">
        <f t="shared" si="10"/>
        <v>57.421875</v>
      </c>
      <c r="K131" s="9">
        <f t="shared" si="11"/>
        <v>339.63125</v>
      </c>
      <c r="L131" s="9">
        <f t="shared" si="12"/>
        <v>344.4512414</v>
      </c>
      <c r="M131" s="9">
        <f t="shared" si="13"/>
        <v>206.6707448</v>
      </c>
    </row>
    <row r="132" ht="15.75" customHeight="1">
      <c r="A132" s="8">
        <v>9.6</v>
      </c>
      <c r="B132" s="21">
        <v>-0.792739749980195</v>
      </c>
      <c r="C132" s="21">
        <v>0.858127021694184</v>
      </c>
      <c r="D132" s="22">
        <v>-0.0825775855035624</v>
      </c>
      <c r="H132" s="2">
        <v>13.0</v>
      </c>
      <c r="I132" s="9">
        <f t="shared" si="9"/>
        <v>372.645</v>
      </c>
      <c r="J132" s="9">
        <f t="shared" si="10"/>
        <v>62.1075</v>
      </c>
      <c r="K132" s="9">
        <f t="shared" si="11"/>
        <v>367.745</v>
      </c>
      <c r="L132" s="9">
        <f t="shared" si="12"/>
        <v>372.9527136</v>
      </c>
      <c r="M132" s="9">
        <f t="shared" si="13"/>
        <v>223.7716282</v>
      </c>
    </row>
    <row r="133" ht="15.75" customHeight="1">
      <c r="A133" s="8">
        <v>9.7</v>
      </c>
      <c r="B133" s="21">
        <v>-0.828211984879839</v>
      </c>
      <c r="C133" s="21">
        <v>0.862404583835764</v>
      </c>
      <c r="D133" s="22">
        <v>-0.0853838537713211</v>
      </c>
      <c r="H133" s="2">
        <v>13.5</v>
      </c>
      <c r="I133" s="9">
        <f t="shared" si="9"/>
        <v>401.86125</v>
      </c>
      <c r="J133" s="9">
        <f t="shared" si="10"/>
        <v>66.976875</v>
      </c>
      <c r="K133" s="9">
        <f t="shared" si="11"/>
        <v>396.96125</v>
      </c>
      <c r="L133" s="9">
        <f t="shared" si="12"/>
        <v>402.5719014</v>
      </c>
      <c r="M133" s="9">
        <f t="shared" si="13"/>
        <v>241.5431408</v>
      </c>
    </row>
    <row r="134" ht="15.75" customHeight="1">
      <c r="A134" s="8">
        <v>9.8</v>
      </c>
      <c r="B134" s="21">
        <v>-0.86441130108189</v>
      </c>
      <c r="C134" s="21">
        <v>0.866587321027736</v>
      </c>
      <c r="D134" s="22">
        <v>-0.088205488181435</v>
      </c>
      <c r="H134" s="2">
        <v>14.0</v>
      </c>
      <c r="I134" s="9">
        <f t="shared" si="9"/>
        <v>432.18</v>
      </c>
      <c r="J134" s="9">
        <f t="shared" si="10"/>
        <v>72.03</v>
      </c>
      <c r="K134" s="9">
        <f t="shared" si="11"/>
        <v>427.28</v>
      </c>
      <c r="L134" s="9">
        <f t="shared" si="12"/>
        <v>433.3088036</v>
      </c>
      <c r="M134" s="9">
        <f t="shared" si="13"/>
        <v>259.9852822</v>
      </c>
    </row>
    <row r="135" ht="15.75" customHeight="1">
      <c r="A135" s="8">
        <v>9.9</v>
      </c>
      <c r="B135" s="21">
        <v>-0.901348539074782</v>
      </c>
      <c r="C135" s="21">
        <v>0.870739371880724</v>
      </c>
      <c r="D135" s="22">
        <v>-0.0910447245339679</v>
      </c>
      <c r="H135" s="2">
        <v>14.5</v>
      </c>
      <c r="I135" s="9">
        <f t="shared" si="9"/>
        <v>463.60125</v>
      </c>
      <c r="J135" s="9">
        <f t="shared" si="10"/>
        <v>77.266875</v>
      </c>
      <c r="K135" s="9">
        <f t="shared" si="11"/>
        <v>458.70125</v>
      </c>
      <c r="L135" s="9">
        <f t="shared" si="12"/>
        <v>465.1634194</v>
      </c>
      <c r="M135" s="9">
        <f t="shared" si="13"/>
        <v>279.0980516</v>
      </c>
    </row>
    <row r="136" ht="15.75" customHeight="1">
      <c r="A136" s="8">
        <v>10.0</v>
      </c>
      <c r="B136" s="21">
        <v>-0.938997597970461</v>
      </c>
      <c r="C136" s="21">
        <v>0.87487376768344</v>
      </c>
      <c r="D136" s="22">
        <v>-0.0939015756666961</v>
      </c>
      <c r="H136" s="2">
        <v>15.0</v>
      </c>
      <c r="I136" s="9">
        <f t="shared" si="9"/>
        <v>496.125</v>
      </c>
      <c r="J136" s="9">
        <f t="shared" si="10"/>
        <v>82.6875</v>
      </c>
      <c r="K136" s="9">
        <f t="shared" si="11"/>
        <v>491.225</v>
      </c>
      <c r="L136" s="9">
        <f t="shared" si="12"/>
        <v>498.1357478</v>
      </c>
      <c r="M136" s="9">
        <f t="shared" si="13"/>
        <v>298.8814487</v>
      </c>
    </row>
    <row r="137" ht="15.75" customHeight="1">
      <c r="A137" s="8">
        <v>10.1</v>
      </c>
      <c r="B137" s="21">
        <v>-0.977384722913044</v>
      </c>
      <c r="C137" s="21">
        <v>0.878922203899341</v>
      </c>
      <c r="D137" s="22">
        <v>-0.0967697017452285</v>
      </c>
    </row>
    <row r="138" ht="15.75" customHeight="1">
      <c r="A138" s="8">
        <v>10.2</v>
      </c>
      <c r="B138" s="21">
        <v>-1.0165306134652</v>
      </c>
      <c r="C138" s="21">
        <v>0.882939066483223</v>
      </c>
      <c r="D138" s="22">
        <v>-0.0996583925897764</v>
      </c>
    </row>
    <row r="139" ht="15.75" customHeight="1">
      <c r="A139" s="8">
        <v>10.3</v>
      </c>
      <c r="B139" s="21">
        <v>-1.05639602015342</v>
      </c>
      <c r="C139" s="21">
        <v>0.88687776403742</v>
      </c>
      <c r="D139" s="22">
        <v>-0.102562344847453</v>
      </c>
    </row>
    <row r="140" ht="15.75" customHeight="1">
      <c r="A140" s="8">
        <v>10.4</v>
      </c>
      <c r="B140" s="21">
        <v>-1.09700469320138</v>
      </c>
      <c r="C140" s="21">
        <v>0.890807204609087</v>
      </c>
      <c r="D140" s="22">
        <v>-0.10548175649028</v>
      </c>
    </row>
    <row r="141" ht="15.75" customHeight="1">
      <c r="A141" s="8">
        <v>10.5</v>
      </c>
      <c r="B141" s="21">
        <v>-1.13837560346385</v>
      </c>
      <c r="C141" s="21">
        <v>0.894703786960314</v>
      </c>
      <c r="D141" s="22">
        <v>-0.108416384951856</v>
      </c>
    </row>
    <row r="142" ht="15.75" customHeight="1">
      <c r="A142" s="8">
        <v>10.6</v>
      </c>
      <c r="B142" s="21">
        <v>-1.18052381269275</v>
      </c>
      <c r="C142" s="21">
        <v>0.898513609458305</v>
      </c>
      <c r="D142" s="22">
        <v>-0.111371895745488</v>
      </c>
    </row>
    <row r="143" ht="15.75" customHeight="1">
      <c r="A143" s="8">
        <v>10.7</v>
      </c>
      <c r="B143" s="21">
        <v>-1.22340138294283</v>
      </c>
      <c r="C143" s="21">
        <v>0.902310797962968</v>
      </c>
      <c r="D143" s="22">
        <v>-0.114338977429448</v>
      </c>
    </row>
    <row r="144" ht="15.75" customHeight="1">
      <c r="A144" s="8">
        <v>10.8</v>
      </c>
      <c r="B144" s="21">
        <v>-1.26704436877051</v>
      </c>
      <c r="C144" s="21">
        <v>0.906096215172862</v>
      </c>
      <c r="D144" s="22">
        <v>-0.117318871213985</v>
      </c>
    </row>
    <row r="145" ht="15.75" customHeight="1">
      <c r="A145" s="8">
        <v>10.9</v>
      </c>
      <c r="B145" s="21">
        <v>-1.31148794500672</v>
      </c>
      <c r="C145" s="21">
        <v>0.909836232871252</v>
      </c>
      <c r="D145" s="22">
        <v>-0.120321020296953</v>
      </c>
    </row>
    <row r="146" ht="15.75" customHeight="1">
      <c r="A146" s="8">
        <v>11.0</v>
      </c>
      <c r="B146" s="21">
        <v>-1.35670226247061</v>
      </c>
      <c r="C146" s="21">
        <v>0.913509325215656</v>
      </c>
      <c r="D146" s="22">
        <v>-0.123336231479296</v>
      </c>
    </row>
    <row r="147" ht="15.75" customHeight="1">
      <c r="A147" s="8">
        <v>11.1</v>
      </c>
      <c r="B147" s="21">
        <v>-1.40267165164291</v>
      </c>
      <c r="C147" s="21">
        <v>0.917173334630746</v>
      </c>
      <c r="D147" s="22">
        <v>-0.126365851376165</v>
      </c>
    </row>
    <row r="148" ht="15.75" customHeight="1">
      <c r="A148" s="8">
        <v>11.2</v>
      </c>
      <c r="B148" s="21">
        <v>-1.4494289958115</v>
      </c>
      <c r="C148" s="21">
        <v>0.920820279262999</v>
      </c>
      <c r="D148" s="22">
        <v>-0.12941124687288</v>
      </c>
    </row>
    <row r="149" ht="15.75" customHeight="1">
      <c r="A149" s="8">
        <v>11.3</v>
      </c>
      <c r="B149" s="21">
        <v>-1.49678081212261</v>
      </c>
      <c r="C149" s="21">
        <v>0.924447718583603</v>
      </c>
      <c r="D149" s="22">
        <v>-0.132475883493324</v>
      </c>
    </row>
    <row r="150" ht="15.75" customHeight="1">
      <c r="A150" s="8">
        <v>11.4</v>
      </c>
      <c r="B150" s="21">
        <v>-1.54544027417524</v>
      </c>
      <c r="C150" s="21">
        <v>0.928012073072305</v>
      </c>
      <c r="D150" s="22">
        <v>-0.135555629500601</v>
      </c>
    </row>
    <row r="151" ht="15.75" customHeight="1">
      <c r="A151" s="8">
        <v>11.5</v>
      </c>
      <c r="B151" s="21">
        <v>-1.59449655864477</v>
      </c>
      <c r="C151" s="21">
        <v>0.931573968113368</v>
      </c>
      <c r="D151" s="22">
        <v>-0.138650178139428</v>
      </c>
    </row>
    <row r="152" ht="15.75" customHeight="1">
      <c r="A152" s="8">
        <v>11.6</v>
      </c>
      <c r="B152" s="21">
        <v>-1.64461532449372</v>
      </c>
      <c r="C152" s="21">
        <v>0.93512029106712</v>
      </c>
      <c r="D152" s="22">
        <v>-0.141764118576935</v>
      </c>
    </row>
    <row r="153" ht="15.75" customHeight="1">
      <c r="A153" s="8">
        <v>11.7</v>
      </c>
      <c r="B153" s="21">
        <v>-1.69531617538258</v>
      </c>
      <c r="C153" s="21">
        <v>0.93862265044841</v>
      </c>
      <c r="D153" s="22">
        <v>-0.144887310321326</v>
      </c>
    </row>
    <row r="154" ht="15.75" customHeight="1">
      <c r="A154" s="8">
        <v>11.8</v>
      </c>
      <c r="B154" s="21">
        <v>-1.74688291737959</v>
      </c>
      <c r="C154" s="21">
        <v>0.942134011408054</v>
      </c>
      <c r="D154" s="22">
        <v>-0.148032643851178</v>
      </c>
    </row>
    <row r="155" ht="15.75" customHeight="1">
      <c r="A155" s="8">
        <v>11.9</v>
      </c>
      <c r="B155" s="21">
        <v>-1.79923058129859</v>
      </c>
      <c r="C155" s="21">
        <v>0.945597184220947</v>
      </c>
      <c r="D155" s="22">
        <v>-0.151191158398754</v>
      </c>
    </row>
    <row r="156" ht="15.75" customHeight="1">
      <c r="A156" s="8">
        <v>12.0</v>
      </c>
      <c r="B156" s="21">
        <v>-1.85254577772908</v>
      </c>
      <c r="C156" s="21">
        <v>0.949069379422905</v>
      </c>
      <c r="D156" s="22">
        <v>-0.154366462730491</v>
      </c>
    </row>
    <row r="157" ht="15.75" customHeight="1">
      <c r="A157" s="8">
        <v>12.1</v>
      </c>
      <c r="B157" s="21">
        <v>-1.90626701950511</v>
      </c>
      <c r="C157" s="21">
        <v>0.952524678219593</v>
      </c>
      <c r="D157" s="22">
        <v>-0.157554985917606</v>
      </c>
    </row>
    <row r="158" ht="15.75" customHeight="1">
      <c r="A158" s="8">
        <v>12.2</v>
      </c>
      <c r="B158" s="21">
        <v>-1.96115872187126</v>
      </c>
      <c r="C158" s="21">
        <v>0.955937316951064</v>
      </c>
      <c r="D158" s="22">
        <v>-0.160764048870858</v>
      </c>
    </row>
    <row r="159" ht="15.75" customHeight="1">
      <c r="A159" s="8">
        <v>12.3</v>
      </c>
      <c r="B159" s="21">
        <v>-2.01723776988151</v>
      </c>
      <c r="C159" s="21">
        <v>0.959350591355157</v>
      </c>
      <c r="D159" s="22">
        <v>-0.163986711758738</v>
      </c>
    </row>
    <row r="160" ht="15.75" customHeight="1">
      <c r="A160" s="8">
        <v>12.4</v>
      </c>
      <c r="B160" s="21">
        <v>-2.07370708966446</v>
      </c>
      <c r="C160" s="21">
        <v>0.962729276466053</v>
      </c>
      <c r="D160" s="22">
        <v>-0.167223027959369</v>
      </c>
    </row>
    <row r="161" ht="15.75" customHeight="1">
      <c r="A161" s="8">
        <v>12.5</v>
      </c>
      <c r="B161" s="21">
        <v>-2.13099332443964</v>
      </c>
      <c r="C161" s="21">
        <v>0.966116471265774</v>
      </c>
      <c r="D161" s="22">
        <v>-0.17047922852388</v>
      </c>
    </row>
    <row r="162" ht="15.75" customHeight="1">
      <c r="A162" s="8">
        <v>12.6</v>
      </c>
      <c r="B162" s="21">
        <v>-2.18942275304411</v>
      </c>
      <c r="C162" s="21">
        <v>0.969480204826914</v>
      </c>
      <c r="D162" s="22">
        <v>-0.173748826996964</v>
      </c>
    </row>
    <row r="163" ht="15.75" customHeight="1">
      <c r="A163" s="8">
        <v>12.7</v>
      </c>
      <c r="B163" s="21">
        <v>-2.24841496948394</v>
      </c>
      <c r="C163" s="21">
        <v>0.972807285050727</v>
      </c>
      <c r="D163" s="22">
        <v>-0.17703758956712</v>
      </c>
    </row>
    <row r="164" ht="15.75" customHeight="1">
      <c r="A164" s="8">
        <v>12.8</v>
      </c>
      <c r="B164" s="21">
        <v>-2.30832167477131</v>
      </c>
      <c r="C164" s="21">
        <v>0.976108416210078</v>
      </c>
      <c r="D164" s="22">
        <v>-0.180341700712149</v>
      </c>
    </row>
    <row r="165" ht="15.75" customHeight="1">
      <c r="A165" s="8">
        <v>12.9</v>
      </c>
      <c r="B165" s="21">
        <v>-2.3691665883868</v>
      </c>
      <c r="C165" s="21">
        <v>0.979366561900376</v>
      </c>
      <c r="D165" s="22">
        <v>-0.183663109747003</v>
      </c>
    </row>
    <row r="166" ht="15.75" customHeight="1">
      <c r="A166" s="8">
        <v>13.0</v>
      </c>
      <c r="B166" s="21">
        <v>-2.43106939556591</v>
      </c>
      <c r="C166" s="21">
        <v>0.98265906039852</v>
      </c>
      <c r="D166" s="22">
        <v>-0.186999101144197</v>
      </c>
    </row>
    <row r="167" ht="15.75" customHeight="1">
      <c r="A167" s="8">
        <v>13.1</v>
      </c>
      <c r="B167" s="21">
        <v>-2.49369930060141</v>
      </c>
      <c r="C167" s="21">
        <v>0.985873603865969</v>
      </c>
      <c r="D167" s="22">
        <v>-0.190353414750618</v>
      </c>
    </row>
    <row r="168" ht="15.75" customHeight="1">
      <c r="A168" s="8">
        <v>13.2</v>
      </c>
      <c r="B168" s="21">
        <v>-2.5571884278582</v>
      </c>
      <c r="C168" s="21">
        <v>0.989083674922482</v>
      </c>
      <c r="D168" s="22">
        <v>-0.193720529646858</v>
      </c>
    </row>
    <row r="169" ht="15.75" customHeight="1">
      <c r="A169" s="8">
        <v>13.3</v>
      </c>
      <c r="B169" s="21">
        <v>-2.62144601425905</v>
      </c>
      <c r="C169" s="21">
        <v>0.992285906016682</v>
      </c>
      <c r="D169" s="22">
        <v>-0.197107498501719</v>
      </c>
    </row>
    <row r="170" ht="15.75" customHeight="1">
      <c r="A170" s="8">
        <v>13.4</v>
      </c>
      <c r="B170" s="21">
        <v>-2.68674281188089</v>
      </c>
      <c r="C170" s="21">
        <v>0.995460604540519</v>
      </c>
      <c r="D170" s="22">
        <v>-0.20050801188607</v>
      </c>
    </row>
    <row r="171" ht="15.75" customHeight="1">
      <c r="A171" s="8">
        <v>13.5</v>
      </c>
      <c r="B171" s="21">
        <v>-2.75310485776075</v>
      </c>
      <c r="C171" s="21">
        <v>0.998604194835507</v>
      </c>
      <c r="D171" s="22">
        <v>-0.203928040041483</v>
      </c>
    </row>
    <row r="172" ht="15.75" customHeight="1">
      <c r="A172" s="8">
        <v>13.6</v>
      </c>
      <c r="B172" s="21">
        <v>-2.82018513329637</v>
      </c>
      <c r="C172" s="21">
        <v>1.0017207179633</v>
      </c>
      <c r="D172" s="22">
        <v>-0.207362144480586</v>
      </c>
    </row>
    <row r="173" ht="15.75" customHeight="1">
      <c r="A173" s="8">
        <v>13.7</v>
      </c>
      <c r="B173" s="21">
        <v>-2.88833155573433</v>
      </c>
      <c r="C173" s="21">
        <v>1.00481773767133</v>
      </c>
      <c r="D173" s="22">
        <v>-0.210810473175642</v>
      </c>
    </row>
    <row r="174" ht="15.75" customHeight="1">
      <c r="A174" s="8">
        <v>13.8</v>
      </c>
      <c r="B174" s="21">
        <v>-2.95686839183621</v>
      </c>
      <c r="C174" s="21">
        <v>1.00789488125869</v>
      </c>
      <c r="D174" s="22">
        <v>-0.214277670023246</v>
      </c>
    </row>
    <row r="175" ht="15.75" customHeight="1">
      <c r="A175" s="8">
        <v>13.9</v>
      </c>
      <c r="B175" s="21">
        <v>-3.02664592467709</v>
      </c>
      <c r="C175" s="21">
        <v>1.01095027576139</v>
      </c>
      <c r="D175" s="22">
        <v>-0.217759426260327</v>
      </c>
    </row>
    <row r="176" ht="15.75" customHeight="1">
      <c r="A176" s="8">
        <v>14.0</v>
      </c>
      <c r="B176" s="21">
        <v>-3.09768021161222</v>
      </c>
      <c r="C176" s="21">
        <v>1.01395742346898</v>
      </c>
      <c r="D176" s="22">
        <v>-0.221256706747111</v>
      </c>
    </row>
    <row r="177" ht="15.75" customHeight="1">
      <c r="A177" s="8">
        <v>14.1</v>
      </c>
      <c r="B177" s="21">
        <v>-3.16909041565933</v>
      </c>
      <c r="C177" s="21">
        <v>1.01694908611587</v>
      </c>
      <c r="D177" s="22">
        <v>-0.224771454717501</v>
      </c>
    </row>
    <row r="178" ht="15.75" customHeight="1">
      <c r="A178" s="8">
        <v>14.2</v>
      </c>
      <c r="B178" s="21">
        <v>-3.24175891095546</v>
      </c>
      <c r="C178" s="21">
        <v>1.01992205696071</v>
      </c>
      <c r="D178" s="22">
        <v>-0.228301774234665</v>
      </c>
    </row>
    <row r="179" ht="15.75" customHeight="1">
      <c r="A179" s="8">
        <v>14.3</v>
      </c>
      <c r="B179" s="21">
        <v>-3.31541227313922</v>
      </c>
      <c r="C179" s="21">
        <v>1.02287906977415</v>
      </c>
      <c r="D179" s="22">
        <v>-0.231844831528439</v>
      </c>
    </row>
    <row r="180" ht="15.75" customHeight="1">
      <c r="A180" s="8">
        <v>14.4</v>
      </c>
      <c r="B180" s="21">
        <v>-3.38998461739215</v>
      </c>
      <c r="C180" s="21">
        <v>1.02582759181759</v>
      </c>
      <c r="D180" s="22">
        <v>-0.23540583265488</v>
      </c>
    </row>
    <row r="181" ht="15.75" customHeight="1">
      <c r="A181" s="8">
        <v>14.5</v>
      </c>
      <c r="B181" s="21">
        <v>-3.46525033669059</v>
      </c>
      <c r="C181" s="21">
        <v>1.02872472843235</v>
      </c>
      <c r="D181" s="22">
        <v>-0.238983583025137</v>
      </c>
    </row>
    <row r="182" ht="15.75" customHeight="1">
      <c r="A182" s="8">
        <v>14.6</v>
      </c>
      <c r="B182" s="21">
        <v>-3.5414895242828</v>
      </c>
      <c r="C182" s="21">
        <v>1.03162803826069</v>
      </c>
      <c r="D182" s="22">
        <v>-0.242573204959952</v>
      </c>
    </row>
    <row r="183" ht="15.75" customHeight="1">
      <c r="A183" s="8">
        <v>14.7</v>
      </c>
      <c r="B183" s="21">
        <v>-3.6187793453384</v>
      </c>
      <c r="C183" s="21">
        <v>1.03450570550957</v>
      </c>
      <c r="D183" s="22">
        <v>-0.246180803835383</v>
      </c>
    </row>
    <row r="184" ht="15.75" customHeight="1">
      <c r="A184" s="8">
        <v>14.8</v>
      </c>
      <c r="B184" s="21">
        <v>-3.69719696502702</v>
      </c>
      <c r="C184" s="21">
        <v>1.03736817715583</v>
      </c>
      <c r="D184" s="22">
        <v>-0.249805531682534</v>
      </c>
    </row>
    <row r="185" ht="15.75" customHeight="1">
      <c r="A185" s="8">
        <v>14.9</v>
      </c>
      <c r="B185" s="21">
        <v>-3.77626752076634</v>
      </c>
      <c r="C185" s="21">
        <v>1.0402353974279</v>
      </c>
      <c r="D185" s="22">
        <v>-0.253442300688022</v>
      </c>
    </row>
    <row r="186" ht="15.75" customHeight="1">
      <c r="A186" s="13">
        <v>15.0</v>
      </c>
      <c r="B186" s="32">
        <v>-3.85638433499007</v>
      </c>
      <c r="C186" s="32">
        <v>1.04309147261841</v>
      </c>
      <c r="D186" s="38">
        <v>-0.257094372322658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44:E44"/>
    <mergeCell ref="Q44:S4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4" width="8.71"/>
    <col customWidth="1" min="5" max="5" width="11.57"/>
    <col customWidth="1" min="6" max="12" width="8.71"/>
    <col customWidth="1" min="13" max="13" width="16.86"/>
    <col customWidth="1" min="14" max="14" width="16.14"/>
    <col customWidth="1" min="15" max="15" width="15.86"/>
    <col customWidth="1" min="16" max="16" width="9.86"/>
    <col customWidth="1" min="17" max="17" width="14.71"/>
    <col customWidth="1" min="18" max="18" width="11.14"/>
    <col customWidth="1" min="19" max="26" width="8.71"/>
  </cols>
  <sheetData>
    <row r="1">
      <c r="A1" s="1" t="s">
        <v>57</v>
      </c>
    </row>
    <row r="2">
      <c r="B2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3" t="s">
        <v>2</v>
      </c>
      <c r="B27" s="4">
        <v>0.2234</v>
      </c>
      <c r="C27" s="5"/>
    </row>
    <row r="28" ht="15.75" customHeight="1">
      <c r="A28" s="6" t="s">
        <v>3</v>
      </c>
      <c r="B28" s="2"/>
      <c r="C28" s="7"/>
    </row>
    <row r="29" ht="15.75" customHeight="1">
      <c r="A29" s="8" t="s">
        <v>4</v>
      </c>
      <c r="B29" s="2">
        <v>3.8</v>
      </c>
      <c r="C29" s="7" t="s">
        <v>5</v>
      </c>
      <c r="E29" s="2" t="s">
        <v>6</v>
      </c>
      <c r="F29" s="9">
        <f>PI()*(B29^2 - (B29-B30)^2)</f>
        <v>37.32212072</v>
      </c>
      <c r="G29" s="2" t="s">
        <v>58</v>
      </c>
    </row>
    <row r="30" ht="15.75" customHeight="1">
      <c r="A30" s="8" t="s">
        <v>8</v>
      </c>
      <c r="B30" s="2">
        <v>2.2</v>
      </c>
      <c r="C30" s="7" t="s">
        <v>5</v>
      </c>
    </row>
    <row r="31" ht="15.75" customHeight="1">
      <c r="A31" s="8" t="s">
        <v>9</v>
      </c>
      <c r="B31" s="2">
        <v>0.4</v>
      </c>
      <c r="C31" s="7" t="s">
        <v>5</v>
      </c>
    </row>
    <row r="32" ht="15.75" customHeight="1">
      <c r="A32" s="10" t="s">
        <v>10</v>
      </c>
      <c r="B32" s="11">
        <f>(B31*3)/5</f>
        <v>0.24</v>
      </c>
      <c r="C32" s="12" t="s">
        <v>5</v>
      </c>
    </row>
    <row r="33" ht="15.75" customHeight="1"/>
    <row r="34" ht="15.75" customHeight="1">
      <c r="A34" s="2" t="s">
        <v>11</v>
      </c>
      <c r="B34" s="2">
        <v>4.1</v>
      </c>
    </row>
    <row r="35" ht="15.75" customHeight="1"/>
    <row r="36" ht="15.75" customHeight="1">
      <c r="A36" s="2" t="s">
        <v>12</v>
      </c>
    </row>
    <row r="37" ht="15.75" customHeight="1">
      <c r="A37" s="3" t="s">
        <v>13</v>
      </c>
      <c r="B37" s="4">
        <v>6803.0</v>
      </c>
      <c r="C37" s="5" t="s">
        <v>14</v>
      </c>
    </row>
    <row r="38" ht="15.75" customHeight="1">
      <c r="A38" s="8" t="s">
        <v>15</v>
      </c>
      <c r="B38" s="2">
        <v>113.0</v>
      </c>
      <c r="C38" s="7" t="s">
        <v>16</v>
      </c>
    </row>
    <row r="39" ht="15.75" customHeight="1">
      <c r="A39" s="8" t="s">
        <v>17</v>
      </c>
      <c r="B39" s="2">
        <v>573.0</v>
      </c>
      <c r="C39" s="7" t="s">
        <v>18</v>
      </c>
      <c r="N39" s="2" t="s">
        <v>19</v>
      </c>
      <c r="O39" s="2">
        <v>1.225</v>
      </c>
      <c r="P39" s="2" t="s">
        <v>20</v>
      </c>
    </row>
    <row r="40" ht="15.75" customHeight="1">
      <c r="A40" s="13" t="s">
        <v>21</v>
      </c>
      <c r="B40" s="11">
        <v>1734.0</v>
      </c>
      <c r="C40" s="12" t="s">
        <v>22</v>
      </c>
    </row>
    <row r="41" ht="15.75" customHeight="1">
      <c r="H41" s="2" t="s">
        <v>59</v>
      </c>
    </row>
    <row r="42" ht="15.75" customHeight="1">
      <c r="A42" s="2" t="s">
        <v>24</v>
      </c>
      <c r="B42" s="2">
        <v>2.4</v>
      </c>
      <c r="C42" s="2" t="s">
        <v>25</v>
      </c>
    </row>
    <row r="43" ht="15.75" customHeight="1"/>
    <row r="44" ht="15.75" customHeight="1">
      <c r="A44" s="1" t="s">
        <v>26</v>
      </c>
      <c r="R44" s="39" t="s">
        <v>27</v>
      </c>
      <c r="S44" s="40"/>
      <c r="T44" s="41"/>
    </row>
    <row r="45" ht="15.75" customHeight="1">
      <c r="A45" s="3" t="s">
        <v>28</v>
      </c>
      <c r="B45" s="4" t="s">
        <v>2</v>
      </c>
      <c r="C45" s="4" t="s">
        <v>29</v>
      </c>
      <c r="D45" s="5" t="s">
        <v>30</v>
      </c>
      <c r="G45" s="2" t="s">
        <v>31</v>
      </c>
      <c r="H45" s="17">
        <v>11.0</v>
      </c>
      <c r="J45" s="2" t="s">
        <v>32</v>
      </c>
      <c r="K45" s="2">
        <v>1.225</v>
      </c>
      <c r="M45" s="18" t="s">
        <v>33</v>
      </c>
      <c r="N45" s="19" t="s">
        <v>34</v>
      </c>
      <c r="O45" s="19" t="s">
        <v>35</v>
      </c>
      <c r="P45" s="19" t="s">
        <v>36</v>
      </c>
      <c r="Q45" s="19" t="s">
        <v>37</v>
      </c>
      <c r="R45" s="19" t="s">
        <v>2</v>
      </c>
      <c r="S45" s="19" t="s">
        <v>29</v>
      </c>
      <c r="T45" s="19" t="s">
        <v>30</v>
      </c>
      <c r="U45" s="19" t="s">
        <v>38</v>
      </c>
      <c r="V45" s="20" t="s">
        <v>39</v>
      </c>
    </row>
    <row r="46" ht="15.75" customHeight="1">
      <c r="A46" s="8">
        <v>1.0</v>
      </c>
      <c r="B46" s="21">
        <v>0.0143038987919897</v>
      </c>
      <c r="C46" s="21">
        <v>0.107295954362862</v>
      </c>
      <c r="D46" s="22">
        <v>0.0143038808764329</v>
      </c>
      <c r="G46" s="2" t="s">
        <v>37</v>
      </c>
      <c r="H46" s="17">
        <v>4.2</v>
      </c>
      <c r="M46" s="8">
        <v>4.0</v>
      </c>
      <c r="N46" s="9">
        <f t="shared" ref="N46:N68" si="1">(0.5*$O$39*$F$29*(M46^3))*R46</f>
        <v>336.5886454</v>
      </c>
      <c r="O46" s="9">
        <f t="shared" ref="O46:O68" si="2">0.5*$O$39*$F$29*(M46^2)*$B$29*T46</f>
        <v>79.93994024</v>
      </c>
      <c r="P46" s="9">
        <f t="shared" ref="P46:P68" si="3">0.5*$O$39*$F$29*(M46^2)*S46</f>
        <v>195.8866534</v>
      </c>
      <c r="Q46" s="2">
        <v>4.0</v>
      </c>
      <c r="R46" s="21">
        <f t="shared" ref="R46:R68" si="4">VLOOKUP(Q46,$A$46:$D$186,2)</f>
        <v>0.2300631601</v>
      </c>
      <c r="S46" s="21">
        <f t="shared" ref="S46:S68" si="5">VLOOKUP(Q46,$A$46:$D$186,3)</f>
        <v>0.5355653331</v>
      </c>
      <c r="T46" s="21">
        <f t="shared" ref="T46:T68" si="6">VLOOKUP(Q46,$A$46:$D$186,4)</f>
        <v>0.05751588856</v>
      </c>
      <c r="U46" s="9">
        <f t="shared" ref="U46:U68" si="7">(Q46*M46)/$B$29</f>
        <v>4.210526316</v>
      </c>
      <c r="V46" s="23">
        <f t="shared" ref="V46:V68" si="8">(U46*60)/(2*PI())</f>
        <v>40.20756457</v>
      </c>
    </row>
    <row r="47" ht="15.75" customHeight="1">
      <c r="A47" s="8">
        <v>1.1</v>
      </c>
      <c r="B47" s="21">
        <v>0.0180802473476859</v>
      </c>
      <c r="C47" s="21">
        <v>0.113654816098868</v>
      </c>
      <c r="D47" s="22">
        <v>0.0164366347526066</v>
      </c>
      <c r="G47" s="2" t="s">
        <v>2</v>
      </c>
      <c r="H47" s="21">
        <f>VLOOKUP(H46, A46:D186, 2)</f>
        <v>0.2272092836</v>
      </c>
      <c r="M47" s="8">
        <v>4.5</v>
      </c>
      <c r="N47" s="9">
        <f t="shared" si="1"/>
        <v>479.2443799</v>
      </c>
      <c r="O47" s="9">
        <f t="shared" si="2"/>
        <v>101.1739869</v>
      </c>
      <c r="P47" s="9">
        <f t="shared" si="3"/>
        <v>247.9190457</v>
      </c>
      <c r="Q47" s="2">
        <v>4.0</v>
      </c>
      <c r="R47" s="21">
        <f t="shared" si="4"/>
        <v>0.2300631601</v>
      </c>
      <c r="S47" s="21">
        <f t="shared" si="5"/>
        <v>0.5355653331</v>
      </c>
      <c r="T47" s="21">
        <f t="shared" si="6"/>
        <v>0.05751588856</v>
      </c>
      <c r="U47" s="9">
        <f t="shared" si="7"/>
        <v>4.736842105</v>
      </c>
      <c r="V47" s="23">
        <f t="shared" si="8"/>
        <v>45.23351014</v>
      </c>
    </row>
    <row r="48" ht="15.75" customHeight="1">
      <c r="A48" s="8">
        <v>1.2</v>
      </c>
      <c r="B48" s="21">
        <v>0.0225951380311264</v>
      </c>
      <c r="C48" s="21">
        <v>0.120527908262365</v>
      </c>
      <c r="D48" s="22">
        <v>0.0188290208779294</v>
      </c>
      <c r="G48" s="2" t="s">
        <v>29</v>
      </c>
      <c r="H48" s="21">
        <f>VLOOKUP(H46, A46:D186, 3)</f>
        <v>0.5564171494</v>
      </c>
      <c r="M48" s="8">
        <v>5.0</v>
      </c>
      <c r="N48" s="9">
        <f t="shared" si="1"/>
        <v>657.3996981</v>
      </c>
      <c r="O48" s="9">
        <f t="shared" si="2"/>
        <v>124.9061566</v>
      </c>
      <c r="P48" s="9">
        <f t="shared" si="3"/>
        <v>306.0728959</v>
      </c>
      <c r="Q48" s="2">
        <v>4.0</v>
      </c>
      <c r="R48" s="21">
        <f t="shared" si="4"/>
        <v>0.2300631601</v>
      </c>
      <c r="S48" s="21">
        <f t="shared" si="5"/>
        <v>0.5355653331</v>
      </c>
      <c r="T48" s="21">
        <f t="shared" si="6"/>
        <v>0.05751588856</v>
      </c>
      <c r="U48" s="9">
        <f t="shared" si="7"/>
        <v>5.263157895</v>
      </c>
      <c r="V48" s="23">
        <f t="shared" si="8"/>
        <v>50.25945571</v>
      </c>
    </row>
    <row r="49" ht="15.75" customHeight="1">
      <c r="A49" s="8">
        <v>1.3</v>
      </c>
      <c r="B49" s="21">
        <v>0.0279728236705311</v>
      </c>
      <c r="C49" s="21">
        <v>0.128475539404979</v>
      </c>
      <c r="D49" s="22">
        <v>0.0215178942759041</v>
      </c>
      <c r="G49" s="2" t="s">
        <v>30</v>
      </c>
      <c r="H49" s="21">
        <f>VLOOKUP(H46, A46:D186, 4)</f>
        <v>0.05409760033</v>
      </c>
      <c r="M49" s="8">
        <v>5.5</v>
      </c>
      <c r="N49" s="9">
        <f t="shared" si="1"/>
        <v>874.9989981</v>
      </c>
      <c r="O49" s="9">
        <f t="shared" si="2"/>
        <v>151.1364495</v>
      </c>
      <c r="P49" s="9">
        <f t="shared" si="3"/>
        <v>370.3482041</v>
      </c>
      <c r="Q49" s="2">
        <v>4.0</v>
      </c>
      <c r="R49" s="21">
        <f t="shared" si="4"/>
        <v>0.2300631601</v>
      </c>
      <c r="S49" s="21">
        <f t="shared" si="5"/>
        <v>0.5355653331</v>
      </c>
      <c r="T49" s="21">
        <f t="shared" si="6"/>
        <v>0.05751588856</v>
      </c>
      <c r="U49" s="9">
        <f t="shared" si="7"/>
        <v>5.789473684</v>
      </c>
      <c r="V49" s="23">
        <f t="shared" si="8"/>
        <v>55.28540128</v>
      </c>
    </row>
    <row r="50" ht="15.75" customHeight="1">
      <c r="A50" s="8">
        <v>1.4</v>
      </c>
      <c r="B50" s="21">
        <v>0.0340424992105844</v>
      </c>
      <c r="C50" s="21">
        <v>0.13762205467021</v>
      </c>
      <c r="D50" s="22">
        <v>0.024316345812194</v>
      </c>
      <c r="G50" s="2" t="s">
        <v>13</v>
      </c>
      <c r="H50" s="24">
        <f>0.5*F29*K45*H45^3*H47</f>
        <v>6913.158818</v>
      </c>
      <c r="I50" s="2" t="s">
        <v>14</v>
      </c>
      <c r="M50" s="8">
        <v>6.0</v>
      </c>
      <c r="N50" s="9">
        <f t="shared" si="1"/>
        <v>1135.986678</v>
      </c>
      <c r="O50" s="9">
        <f t="shared" si="2"/>
        <v>179.8648655</v>
      </c>
      <c r="P50" s="9">
        <f t="shared" si="3"/>
        <v>440.7449701</v>
      </c>
      <c r="Q50" s="2">
        <v>4.0</v>
      </c>
      <c r="R50" s="21">
        <f t="shared" si="4"/>
        <v>0.2300631601</v>
      </c>
      <c r="S50" s="21">
        <f t="shared" si="5"/>
        <v>0.5355653331</v>
      </c>
      <c r="T50" s="21">
        <f t="shared" si="6"/>
        <v>0.05751588856</v>
      </c>
      <c r="U50" s="9">
        <f t="shared" si="7"/>
        <v>6.315789474</v>
      </c>
      <c r="V50" s="23">
        <f t="shared" si="8"/>
        <v>60.31134686</v>
      </c>
    </row>
    <row r="51" ht="15.75" customHeight="1">
      <c r="A51" s="8">
        <v>1.5</v>
      </c>
      <c r="B51" s="21">
        <v>0.040574574368708</v>
      </c>
      <c r="C51" s="21">
        <v>0.147623571738857</v>
      </c>
      <c r="D51" s="22">
        <v>0.0270497676037348</v>
      </c>
      <c r="G51" s="2" t="s">
        <v>21</v>
      </c>
      <c r="H51" s="24">
        <f>0.5*F29*K45*H45^2*H48</f>
        <v>1539.069684</v>
      </c>
      <c r="I51" s="2" t="s">
        <v>22</v>
      </c>
      <c r="M51" s="8">
        <v>6.5</v>
      </c>
      <c r="N51" s="9">
        <f t="shared" si="1"/>
        <v>1444.307137</v>
      </c>
      <c r="O51" s="9">
        <f t="shared" si="2"/>
        <v>211.0914047</v>
      </c>
      <c r="P51" s="9">
        <f t="shared" si="3"/>
        <v>517.2631941</v>
      </c>
      <c r="Q51" s="2">
        <v>4.0</v>
      </c>
      <c r="R51" s="21">
        <f t="shared" si="4"/>
        <v>0.2300631601</v>
      </c>
      <c r="S51" s="21">
        <f t="shared" si="5"/>
        <v>0.5355653331</v>
      </c>
      <c r="T51" s="21">
        <f t="shared" si="6"/>
        <v>0.05751588856</v>
      </c>
      <c r="U51" s="9">
        <f t="shared" si="7"/>
        <v>6.842105263</v>
      </c>
      <c r="V51" s="23">
        <f t="shared" si="8"/>
        <v>65.33729243</v>
      </c>
    </row>
    <row r="52" ht="15.75" customHeight="1">
      <c r="A52" s="8">
        <v>1.6</v>
      </c>
      <c r="B52" s="21">
        <v>0.0476663408731918</v>
      </c>
      <c r="C52" s="21">
        <v>0.158225910424015</v>
      </c>
      <c r="D52" s="22">
        <v>0.0297914394375199</v>
      </c>
      <c r="G52" s="2" t="s">
        <v>17</v>
      </c>
      <c r="H52" s="24">
        <f>0.5*K45*F29*B29*H45^2*H49</f>
        <v>568.6163907</v>
      </c>
      <c r="I52" s="2" t="s">
        <v>18</v>
      </c>
      <c r="M52" s="8">
        <v>7.0</v>
      </c>
      <c r="N52" s="9">
        <f t="shared" si="1"/>
        <v>1803.904772</v>
      </c>
      <c r="O52" s="9">
        <f t="shared" si="2"/>
        <v>244.816067</v>
      </c>
      <c r="P52" s="9">
        <f t="shared" si="3"/>
        <v>599.902876</v>
      </c>
      <c r="Q52" s="2">
        <v>4.0</v>
      </c>
      <c r="R52" s="21">
        <f t="shared" si="4"/>
        <v>0.2300631601</v>
      </c>
      <c r="S52" s="21">
        <f t="shared" si="5"/>
        <v>0.5355653331</v>
      </c>
      <c r="T52" s="21">
        <f t="shared" si="6"/>
        <v>0.05751588856</v>
      </c>
      <c r="U52" s="9">
        <f t="shared" si="7"/>
        <v>7.368421053</v>
      </c>
      <c r="V52" s="23">
        <f t="shared" si="8"/>
        <v>70.363238</v>
      </c>
    </row>
    <row r="53" ht="15.75" customHeight="1">
      <c r="A53" s="8">
        <v>1.7</v>
      </c>
      <c r="B53" s="21">
        <v>0.0556914141886063</v>
      </c>
      <c r="C53" s="21">
        <v>0.170018172930881</v>
      </c>
      <c r="D53" s="22">
        <v>0.0327595464236767</v>
      </c>
      <c r="M53" s="8">
        <v>7.5</v>
      </c>
      <c r="N53" s="9">
        <f t="shared" si="1"/>
        <v>2218.723981</v>
      </c>
      <c r="O53" s="9">
        <f t="shared" si="2"/>
        <v>281.0388524</v>
      </c>
      <c r="P53" s="9">
        <f t="shared" si="3"/>
        <v>688.6640158</v>
      </c>
      <c r="Q53" s="2">
        <v>4.0</v>
      </c>
      <c r="R53" s="21">
        <f t="shared" si="4"/>
        <v>0.2300631601</v>
      </c>
      <c r="S53" s="21">
        <f t="shared" si="5"/>
        <v>0.5355653331</v>
      </c>
      <c r="T53" s="21">
        <f t="shared" si="6"/>
        <v>0.05751588856</v>
      </c>
      <c r="U53" s="9">
        <f t="shared" si="7"/>
        <v>7.894736842</v>
      </c>
      <c r="V53" s="23">
        <f t="shared" si="8"/>
        <v>75.38918357</v>
      </c>
    </row>
    <row r="54" ht="15.75" customHeight="1">
      <c r="A54" s="8">
        <v>1.8</v>
      </c>
      <c r="B54" s="21">
        <v>0.0645868273960772</v>
      </c>
      <c r="C54" s="21">
        <v>0.183416847683383</v>
      </c>
      <c r="D54" s="22">
        <v>0.0358818504573463</v>
      </c>
      <c r="G54" s="25" t="s">
        <v>40</v>
      </c>
      <c r="M54" s="8">
        <v>8.0</v>
      </c>
      <c r="N54" s="9">
        <f t="shared" si="1"/>
        <v>2692.709163</v>
      </c>
      <c r="O54" s="9">
        <f t="shared" si="2"/>
        <v>319.759761</v>
      </c>
      <c r="P54" s="9">
        <f t="shared" si="3"/>
        <v>783.5466135</v>
      </c>
      <c r="Q54" s="2">
        <v>4.0</v>
      </c>
      <c r="R54" s="21">
        <f t="shared" si="4"/>
        <v>0.2300631601</v>
      </c>
      <c r="S54" s="21">
        <f t="shared" si="5"/>
        <v>0.5355653331</v>
      </c>
      <c r="T54" s="21">
        <f t="shared" si="6"/>
        <v>0.05751588856</v>
      </c>
      <c r="U54" s="9">
        <f t="shared" si="7"/>
        <v>8.421052632</v>
      </c>
      <c r="V54" s="23">
        <f t="shared" si="8"/>
        <v>80.41512914</v>
      </c>
    </row>
    <row r="55" ht="15.75" customHeight="1">
      <c r="A55" s="8">
        <v>1.9</v>
      </c>
      <c r="B55" s="21">
        <v>0.0742225071752966</v>
      </c>
      <c r="C55" s="21">
        <v>0.198696252126257</v>
      </c>
      <c r="D55" s="22">
        <v>0.0390642983051144</v>
      </c>
      <c r="G55" s="25" t="s">
        <v>41</v>
      </c>
      <c r="H55" s="25">
        <v>0.74</v>
      </c>
      <c r="I55" s="25" t="s">
        <v>5</v>
      </c>
      <c r="M55" s="8">
        <v>8.5</v>
      </c>
      <c r="N55" s="9">
        <f t="shared" si="1"/>
        <v>3229.804717</v>
      </c>
      <c r="O55" s="9">
        <f t="shared" si="2"/>
        <v>360.9787926</v>
      </c>
      <c r="P55" s="9">
        <f t="shared" si="3"/>
        <v>884.5506692</v>
      </c>
      <c r="Q55" s="2">
        <v>4.0</v>
      </c>
      <c r="R55" s="21">
        <f t="shared" si="4"/>
        <v>0.2300631601</v>
      </c>
      <c r="S55" s="21">
        <f t="shared" si="5"/>
        <v>0.5355653331</v>
      </c>
      <c r="T55" s="21">
        <f t="shared" si="6"/>
        <v>0.05751588856</v>
      </c>
      <c r="U55" s="9">
        <f t="shared" si="7"/>
        <v>8.947368421</v>
      </c>
      <c r="V55" s="23">
        <f t="shared" si="8"/>
        <v>85.44107471</v>
      </c>
    </row>
    <row r="56" ht="15.75" customHeight="1">
      <c r="A56" s="8">
        <v>2.0</v>
      </c>
      <c r="B56" s="21">
        <v>0.0844120786409978</v>
      </c>
      <c r="C56" s="21">
        <v>0.215080444460998</v>
      </c>
      <c r="D56" s="22">
        <v>0.0422059703456052</v>
      </c>
      <c r="G56" s="25" t="s">
        <v>42</v>
      </c>
      <c r="H56" s="25">
        <f>H55*2</f>
        <v>1.48</v>
      </c>
      <c r="I56" s="25" t="s">
        <v>5</v>
      </c>
      <c r="M56" s="8">
        <v>9.0</v>
      </c>
      <c r="N56" s="9">
        <f t="shared" si="1"/>
        <v>3833.955039</v>
      </c>
      <c r="O56" s="9">
        <f t="shared" si="2"/>
        <v>404.6959475</v>
      </c>
      <c r="P56" s="9">
        <f t="shared" si="3"/>
        <v>991.6761828</v>
      </c>
      <c r="Q56" s="2">
        <v>4.0</v>
      </c>
      <c r="R56" s="21">
        <f t="shared" si="4"/>
        <v>0.2300631601</v>
      </c>
      <c r="S56" s="21">
        <f t="shared" si="5"/>
        <v>0.5355653331</v>
      </c>
      <c r="T56" s="21">
        <f t="shared" si="6"/>
        <v>0.05751588856</v>
      </c>
      <c r="U56" s="9">
        <f t="shared" si="7"/>
        <v>9.473684211</v>
      </c>
      <c r="V56" s="23">
        <f t="shared" si="8"/>
        <v>90.46702028</v>
      </c>
    </row>
    <row r="57" ht="15.75" customHeight="1">
      <c r="A57" s="8">
        <v>2.1</v>
      </c>
      <c r="B57" s="21">
        <v>0.0949903777734037</v>
      </c>
      <c r="C57" s="21">
        <v>0.231991596383994</v>
      </c>
      <c r="D57" s="22">
        <v>0.0452322438416876</v>
      </c>
      <c r="M57" s="8">
        <v>9.5</v>
      </c>
      <c r="N57" s="9">
        <f t="shared" si="1"/>
        <v>4509.104529</v>
      </c>
      <c r="O57" s="9">
        <f t="shared" si="2"/>
        <v>450.9112254</v>
      </c>
      <c r="P57" s="9">
        <f t="shared" si="3"/>
        <v>1104.923154</v>
      </c>
      <c r="Q57" s="2">
        <v>4.0</v>
      </c>
      <c r="R57" s="21">
        <f t="shared" si="4"/>
        <v>0.2300631601</v>
      </c>
      <c r="S57" s="21">
        <f t="shared" si="5"/>
        <v>0.5355653331</v>
      </c>
      <c r="T57" s="21">
        <f t="shared" si="6"/>
        <v>0.05751588856</v>
      </c>
      <c r="U57" s="9">
        <f t="shared" si="7"/>
        <v>10</v>
      </c>
      <c r="V57" s="23">
        <f t="shared" si="8"/>
        <v>95.49296586</v>
      </c>
    </row>
    <row r="58" ht="15.75" customHeight="1">
      <c r="A58" s="8">
        <v>2.2</v>
      </c>
      <c r="B58" s="21">
        <v>0.10579120166543</v>
      </c>
      <c r="C58" s="21">
        <v>0.249542092899675</v>
      </c>
      <c r="D58" s="22">
        <v>0.0480859994118997</v>
      </c>
      <c r="M58" s="8">
        <v>10.0</v>
      </c>
      <c r="N58" s="9">
        <f t="shared" si="1"/>
        <v>5259.197585</v>
      </c>
      <c r="O58" s="9">
        <f t="shared" si="2"/>
        <v>499.6246265</v>
      </c>
      <c r="P58" s="9">
        <f t="shared" si="3"/>
        <v>1224.291584</v>
      </c>
      <c r="Q58" s="2">
        <v>4.0</v>
      </c>
      <c r="R58" s="21">
        <f t="shared" si="4"/>
        <v>0.2300631601</v>
      </c>
      <c r="S58" s="21">
        <f t="shared" si="5"/>
        <v>0.5355653331</v>
      </c>
      <c r="T58" s="21">
        <f t="shared" si="6"/>
        <v>0.05751588856</v>
      </c>
      <c r="U58" s="9">
        <f t="shared" si="7"/>
        <v>10.52631579</v>
      </c>
      <c r="V58" s="23">
        <f t="shared" si="8"/>
        <v>100.5189114</v>
      </c>
    </row>
    <row r="59" ht="15.75" customHeight="1">
      <c r="A59" s="8">
        <v>2.3</v>
      </c>
      <c r="B59" s="21">
        <v>0.11674274863518</v>
      </c>
      <c r="C59" s="21">
        <v>0.26745343596096</v>
      </c>
      <c r="D59" s="22">
        <v>0.0507587138375873</v>
      </c>
      <c r="G59" s="25" t="s">
        <v>43</v>
      </c>
      <c r="M59" s="8">
        <v>10.5</v>
      </c>
      <c r="N59" s="9">
        <f t="shared" si="1"/>
        <v>6088.178604</v>
      </c>
      <c r="O59" s="9">
        <f t="shared" si="2"/>
        <v>550.8361507</v>
      </c>
      <c r="P59" s="9">
        <f t="shared" si="3"/>
        <v>1349.781471</v>
      </c>
      <c r="Q59" s="2">
        <v>4.0</v>
      </c>
      <c r="R59" s="21">
        <f t="shared" si="4"/>
        <v>0.2300631601</v>
      </c>
      <c r="S59" s="21">
        <f t="shared" si="5"/>
        <v>0.5355653331</v>
      </c>
      <c r="T59" s="21">
        <f t="shared" si="6"/>
        <v>0.05751588856</v>
      </c>
      <c r="U59" s="9">
        <f t="shared" si="7"/>
        <v>11.05263158</v>
      </c>
      <c r="V59" s="23">
        <f t="shared" si="8"/>
        <v>105.544857</v>
      </c>
    </row>
    <row r="60" ht="15.75" customHeight="1">
      <c r="A60" s="8">
        <v>2.4</v>
      </c>
      <c r="B60" s="21">
        <v>0.127722169918121</v>
      </c>
      <c r="C60" s="21">
        <v>0.2856272387189</v>
      </c>
      <c r="D60" s="22">
        <v>0.0532169142657226</v>
      </c>
      <c r="G60" s="25" t="s">
        <v>41</v>
      </c>
      <c r="H60" s="25">
        <v>0.59</v>
      </c>
      <c r="I60" s="25" t="s">
        <v>5</v>
      </c>
      <c r="M60" s="26">
        <v>11.0</v>
      </c>
      <c r="N60" s="27">
        <f t="shared" si="1"/>
        <v>6999.991985</v>
      </c>
      <c r="O60" s="27">
        <f t="shared" si="2"/>
        <v>604.5457981</v>
      </c>
      <c r="P60" s="27">
        <f t="shared" si="3"/>
        <v>1481.392816</v>
      </c>
      <c r="Q60" s="28">
        <v>4.0</v>
      </c>
      <c r="R60" s="29">
        <f t="shared" si="4"/>
        <v>0.2300631601</v>
      </c>
      <c r="S60" s="29">
        <f t="shared" si="5"/>
        <v>0.5355653331</v>
      </c>
      <c r="T60" s="29">
        <f t="shared" si="6"/>
        <v>0.05751588856</v>
      </c>
      <c r="U60" s="27">
        <f t="shared" si="7"/>
        <v>11.57894737</v>
      </c>
      <c r="V60" s="30">
        <f t="shared" si="8"/>
        <v>110.5708026</v>
      </c>
    </row>
    <row r="61" ht="15.75" customHeight="1">
      <c r="A61" s="8">
        <v>2.5</v>
      </c>
      <c r="B61" s="21">
        <v>0.138549036795121</v>
      </c>
      <c r="C61" s="21">
        <v>0.303804618625903</v>
      </c>
      <c r="D61" s="22">
        <v>0.055419916903328</v>
      </c>
      <c r="G61" s="25" t="s">
        <v>42</v>
      </c>
      <c r="H61" s="25">
        <f>H60*2</f>
        <v>1.18</v>
      </c>
      <c r="I61" s="25" t="s">
        <v>5</v>
      </c>
      <c r="M61" s="8">
        <v>11.5</v>
      </c>
      <c r="N61" s="9">
        <f t="shared" si="1"/>
        <v>7031.064582</v>
      </c>
      <c r="O61" s="9">
        <f t="shared" si="2"/>
        <v>726.0281312</v>
      </c>
      <c r="P61" s="9">
        <f t="shared" si="3"/>
        <v>1286.622742</v>
      </c>
      <c r="Q61" s="2">
        <v>3.2</v>
      </c>
      <c r="R61" s="21">
        <f t="shared" si="4"/>
        <v>0.2022344599</v>
      </c>
      <c r="S61" s="21">
        <f t="shared" si="5"/>
        <v>0.4255818876</v>
      </c>
      <c r="T61" s="21">
        <f t="shared" si="6"/>
        <v>0.06319777157</v>
      </c>
      <c r="U61" s="9">
        <f t="shared" si="7"/>
        <v>9.684210526</v>
      </c>
      <c r="V61" s="23">
        <f t="shared" si="8"/>
        <v>92.47739851</v>
      </c>
    </row>
    <row r="62" ht="15.75" customHeight="1">
      <c r="A62" s="8">
        <v>2.6</v>
      </c>
      <c r="B62" s="21">
        <v>0.149106940786003</v>
      </c>
      <c r="C62" s="21">
        <v>0.321928957821438</v>
      </c>
      <c r="D62" s="22">
        <v>0.0573487943229551</v>
      </c>
      <c r="M62" s="8">
        <v>12.0</v>
      </c>
      <c r="N62" s="9">
        <f t="shared" si="1"/>
        <v>7039.994522</v>
      </c>
      <c r="O62" s="9">
        <f t="shared" si="2"/>
        <v>768.7308765</v>
      </c>
      <c r="P62" s="9">
        <f t="shared" si="3"/>
        <v>1235.134363</v>
      </c>
      <c r="Q62" s="2">
        <v>2.9</v>
      </c>
      <c r="R62" s="21">
        <f t="shared" si="4"/>
        <v>0.1782198922</v>
      </c>
      <c r="S62" s="21">
        <f t="shared" si="5"/>
        <v>0.3752142345</v>
      </c>
      <c r="T62" s="21">
        <f t="shared" si="6"/>
        <v>0.06145480288</v>
      </c>
      <c r="U62" s="9">
        <f t="shared" si="7"/>
        <v>9.157894737</v>
      </c>
      <c r="V62" s="23">
        <f t="shared" si="8"/>
        <v>87.45145294</v>
      </c>
    </row>
    <row r="63" ht="15.75" customHeight="1">
      <c r="A63" s="8">
        <v>2.7</v>
      </c>
      <c r="B63" s="21">
        <v>0.159268064712359</v>
      </c>
      <c r="C63" s="21">
        <v>0.339963346532061</v>
      </c>
      <c r="D63" s="22">
        <v>0.0589886531072492</v>
      </c>
      <c r="M63" s="8">
        <v>12.5</v>
      </c>
      <c r="N63" s="9">
        <f t="shared" si="1"/>
        <v>6657.333374</v>
      </c>
      <c r="O63" s="9">
        <f t="shared" si="2"/>
        <v>778.3955078</v>
      </c>
      <c r="P63" s="9">
        <f t="shared" si="3"/>
        <v>1149.879883</v>
      </c>
      <c r="Q63" s="2">
        <v>2.6</v>
      </c>
      <c r="R63" s="21">
        <f t="shared" si="4"/>
        <v>0.1491069408</v>
      </c>
      <c r="S63" s="21">
        <f t="shared" si="5"/>
        <v>0.3219289578</v>
      </c>
      <c r="T63" s="21">
        <f t="shared" si="6"/>
        <v>0.05734879432</v>
      </c>
      <c r="U63" s="9">
        <f t="shared" si="7"/>
        <v>8.552631579</v>
      </c>
      <c r="V63" s="23">
        <f t="shared" si="8"/>
        <v>81.67161553</v>
      </c>
    </row>
    <row r="64" ht="15.75" customHeight="1">
      <c r="A64" s="8">
        <v>2.8</v>
      </c>
      <c r="B64" s="21">
        <v>0.168985929600221</v>
      </c>
      <c r="C64" s="21">
        <v>0.357718861398882</v>
      </c>
      <c r="D64" s="22">
        <v>0.0603513648207684</v>
      </c>
      <c r="M64" s="8">
        <v>13.0</v>
      </c>
      <c r="N64" s="9">
        <f t="shared" si="1"/>
        <v>6958.345266</v>
      </c>
      <c r="O64" s="9">
        <f t="shared" si="2"/>
        <v>813.595575</v>
      </c>
      <c r="P64" s="9">
        <f t="shared" si="3"/>
        <v>1173.690213</v>
      </c>
      <c r="Q64" s="2">
        <v>2.5</v>
      </c>
      <c r="R64" s="21">
        <f t="shared" si="4"/>
        <v>0.1385490368</v>
      </c>
      <c r="S64" s="21">
        <f t="shared" si="5"/>
        <v>0.3038046186</v>
      </c>
      <c r="T64" s="21">
        <f t="shared" si="6"/>
        <v>0.0554199169</v>
      </c>
      <c r="U64" s="9">
        <f t="shared" si="7"/>
        <v>8.552631579</v>
      </c>
      <c r="V64" s="23">
        <f t="shared" si="8"/>
        <v>81.67161553</v>
      </c>
    </row>
    <row r="65" ht="15.75" customHeight="1">
      <c r="A65" s="8">
        <v>2.9</v>
      </c>
      <c r="B65" s="21">
        <v>0.178219892217434</v>
      </c>
      <c r="C65" s="21">
        <v>0.375214234526783</v>
      </c>
      <c r="D65" s="22">
        <v>0.0614548028829234</v>
      </c>
      <c r="M65" s="8">
        <v>13.5</v>
      </c>
      <c r="N65" s="9">
        <f t="shared" si="1"/>
        <v>6566.041543</v>
      </c>
      <c r="O65" s="9">
        <f t="shared" si="2"/>
        <v>803.5893068</v>
      </c>
      <c r="P65" s="9">
        <f t="shared" si="3"/>
        <v>1114.264066</v>
      </c>
      <c r="Q65" s="2">
        <v>2.3</v>
      </c>
      <c r="R65" s="21">
        <f t="shared" si="4"/>
        <v>0.1167427486</v>
      </c>
      <c r="S65" s="21">
        <f t="shared" si="5"/>
        <v>0.267453436</v>
      </c>
      <c r="T65" s="21">
        <f t="shared" si="6"/>
        <v>0.05075871384</v>
      </c>
      <c r="U65" s="9">
        <f t="shared" si="7"/>
        <v>8.171052632</v>
      </c>
      <c r="V65" s="23">
        <f t="shared" si="8"/>
        <v>78.02780499</v>
      </c>
    </row>
    <row r="66" ht="15.75" customHeight="1">
      <c r="A66" s="8">
        <v>3.0</v>
      </c>
      <c r="B66" s="21">
        <v>0.186848209404302</v>
      </c>
      <c r="C66" s="21">
        <v>0.392298397813081</v>
      </c>
      <c r="D66" s="22">
        <v>0.0622832640931921</v>
      </c>
      <c r="M66" s="8">
        <v>14.0</v>
      </c>
      <c r="N66" s="9">
        <f t="shared" si="1"/>
        <v>6635.995207</v>
      </c>
      <c r="O66" s="9">
        <f t="shared" si="2"/>
        <v>818.7111803</v>
      </c>
      <c r="P66" s="9">
        <f t="shared" si="3"/>
        <v>1118.078486</v>
      </c>
      <c r="Q66" s="2">
        <v>2.2</v>
      </c>
      <c r="R66" s="21">
        <f t="shared" si="4"/>
        <v>0.1057912017</v>
      </c>
      <c r="S66" s="21">
        <f t="shared" si="5"/>
        <v>0.2495420929</v>
      </c>
      <c r="T66" s="21">
        <f t="shared" si="6"/>
        <v>0.04808599941</v>
      </c>
      <c r="U66" s="9">
        <f t="shared" si="7"/>
        <v>8.105263158</v>
      </c>
      <c r="V66" s="23">
        <f t="shared" si="8"/>
        <v>77.3995618</v>
      </c>
    </row>
    <row r="67" ht="15.75" customHeight="1">
      <c r="A67" s="8">
        <v>3.1</v>
      </c>
      <c r="B67" s="21">
        <v>0.194856946727396</v>
      </c>
      <c r="C67" s="21">
        <v>0.409089063861495</v>
      </c>
      <c r="D67" s="22">
        <v>0.0628568405335393</v>
      </c>
      <c r="M67" s="8">
        <v>14.5</v>
      </c>
      <c r="N67" s="9">
        <f t="shared" si="1"/>
        <v>6619.970101</v>
      </c>
      <c r="O67" s="9">
        <f t="shared" si="2"/>
        <v>826.1143</v>
      </c>
      <c r="P67" s="9">
        <f t="shared" si="3"/>
        <v>1115.014883</v>
      </c>
      <c r="Q67" s="2">
        <v>2.1</v>
      </c>
      <c r="R67" s="21">
        <f t="shared" si="4"/>
        <v>0.09499037777</v>
      </c>
      <c r="S67" s="21">
        <f t="shared" si="5"/>
        <v>0.2319915964</v>
      </c>
      <c r="T67" s="21">
        <f t="shared" si="6"/>
        <v>0.04523224384</v>
      </c>
      <c r="U67" s="9">
        <f t="shared" si="7"/>
        <v>8.013157895</v>
      </c>
      <c r="V67" s="23">
        <f t="shared" si="8"/>
        <v>76.52002132</v>
      </c>
    </row>
    <row r="68" ht="15.75" customHeight="1">
      <c r="A68" s="8">
        <v>3.2</v>
      </c>
      <c r="B68" s="21">
        <v>0.202234459934742</v>
      </c>
      <c r="C68" s="21">
        <v>0.425581887590535</v>
      </c>
      <c r="D68" s="22">
        <v>0.0631977715729055</v>
      </c>
      <c r="M68" s="13">
        <v>15.0</v>
      </c>
      <c r="N68" s="31">
        <f t="shared" si="1"/>
        <v>6512.545618</v>
      </c>
      <c r="O68" s="31">
        <f t="shared" si="2"/>
        <v>824.9210969</v>
      </c>
      <c r="P68" s="31">
        <f t="shared" si="3"/>
        <v>1106.256536</v>
      </c>
      <c r="Q68" s="11">
        <v>2.0</v>
      </c>
      <c r="R68" s="32">
        <f t="shared" si="4"/>
        <v>0.08441207864</v>
      </c>
      <c r="S68" s="32">
        <f t="shared" si="5"/>
        <v>0.2150804445</v>
      </c>
      <c r="T68" s="32">
        <f t="shared" si="6"/>
        <v>0.04220597035</v>
      </c>
      <c r="U68" s="31">
        <f t="shared" si="7"/>
        <v>7.894736842</v>
      </c>
      <c r="V68" s="33">
        <f t="shared" si="8"/>
        <v>75.38918357</v>
      </c>
    </row>
    <row r="69" ht="15.75" customHeight="1">
      <c r="A69" s="8">
        <v>3.3</v>
      </c>
      <c r="B69" s="21">
        <v>0.208892229836759</v>
      </c>
      <c r="C69" s="21">
        <v>0.441744644159193</v>
      </c>
      <c r="D69" s="22">
        <v>0.0632998297637472</v>
      </c>
      <c r="M69" s="2"/>
      <c r="N69" s="9"/>
      <c r="O69" s="9"/>
      <c r="P69" s="9"/>
      <c r="Q69" s="2"/>
      <c r="U69" s="9"/>
      <c r="V69" s="9"/>
    </row>
    <row r="70" ht="15.75" customHeight="1">
      <c r="A70" s="8">
        <v>3.4</v>
      </c>
      <c r="B70" s="21">
        <v>0.214730125669868</v>
      </c>
      <c r="C70" s="21">
        <v>0.457380444407393</v>
      </c>
      <c r="D70" s="22">
        <v>0.0631557881137754</v>
      </c>
    </row>
    <row r="71" ht="15.75" customHeight="1">
      <c r="A71" s="8">
        <v>3.5</v>
      </c>
      <c r="B71" s="21">
        <v>0.219691414383675</v>
      </c>
      <c r="C71" s="21">
        <v>0.472280236432541</v>
      </c>
      <c r="D71" s="22">
        <v>0.0627689190069331</v>
      </c>
    </row>
    <row r="72" ht="15.75" customHeight="1">
      <c r="A72" s="8">
        <v>3.6</v>
      </c>
      <c r="B72" s="21">
        <v>0.223706035760068</v>
      </c>
      <c r="C72" s="21">
        <v>0.486371294310664</v>
      </c>
      <c r="D72" s="22">
        <v>0.0621405175229903</v>
      </c>
    </row>
    <row r="73" ht="15.75" customHeight="1">
      <c r="A73" s="8">
        <v>3.7</v>
      </c>
      <c r="B73" s="21">
        <v>0.226790052385637</v>
      </c>
      <c r="C73" s="21">
        <v>0.499773096345431</v>
      </c>
      <c r="D73" s="22">
        <v>0.0612946865354437</v>
      </c>
    </row>
    <row r="74" ht="15.75" customHeight="1">
      <c r="A74" s="8">
        <v>3.8</v>
      </c>
      <c r="B74" s="21">
        <v>0.228900744615194</v>
      </c>
      <c r="C74" s="21">
        <v>0.512396512269117</v>
      </c>
      <c r="D74" s="22">
        <v>0.0602365344144972</v>
      </c>
    </row>
    <row r="75" ht="15.75" customHeight="1">
      <c r="A75" s="8">
        <v>3.9</v>
      </c>
      <c r="B75" s="21">
        <v>0.229979330216956</v>
      </c>
      <c r="C75" s="21">
        <v>0.524284193375479</v>
      </c>
      <c r="D75" s="22">
        <v>0.0589680037798056</v>
      </c>
    </row>
    <row r="76" ht="15.75" customHeight="1">
      <c r="A76" s="8">
        <v>4.0</v>
      </c>
      <c r="B76" s="21">
        <v>0.230063160117037</v>
      </c>
      <c r="C76" s="21">
        <v>0.535565333130333</v>
      </c>
      <c r="D76" s="22">
        <v>0.0575158885648218</v>
      </c>
    </row>
    <row r="77" ht="15.75" customHeight="1">
      <c r="A77" s="8">
        <v>4.1</v>
      </c>
      <c r="B77" s="21">
        <v>0.229150569100266</v>
      </c>
      <c r="C77" s="21">
        <v>0.546359792169661</v>
      </c>
      <c r="D77" s="22">
        <v>0.055890534501962</v>
      </c>
    </row>
    <row r="78" ht="15.75" customHeight="1">
      <c r="A78" s="8">
        <v>4.2</v>
      </c>
      <c r="B78" s="21">
        <v>0.227209283580986</v>
      </c>
      <c r="C78" s="21">
        <v>0.556417149363019</v>
      </c>
      <c r="D78" s="22">
        <v>0.0540976003273352</v>
      </c>
    </row>
    <row r="79" ht="15.75" customHeight="1">
      <c r="A79" s="8">
        <v>4.3</v>
      </c>
      <c r="B79" s="21">
        <v>0.224360172583043</v>
      </c>
      <c r="C79" s="21">
        <v>0.566200390625823</v>
      </c>
      <c r="D79" s="22">
        <v>0.0521774109494851</v>
      </c>
    </row>
    <row r="80" ht="15.75" customHeight="1">
      <c r="A80" s="8">
        <v>4.4</v>
      </c>
      <c r="B80" s="21">
        <v>0.22058654719198</v>
      </c>
      <c r="C80" s="21">
        <v>0.575322719832044</v>
      </c>
      <c r="D80" s="22">
        <v>0.0501336758919404</v>
      </c>
    </row>
    <row r="81" ht="15.75" customHeight="1">
      <c r="A81" s="8">
        <v>4.5</v>
      </c>
      <c r="B81" s="21">
        <v>0.215934136149908</v>
      </c>
      <c r="C81" s="21">
        <v>0.58395690761723</v>
      </c>
      <c r="D81" s="22">
        <v>0.0479850797905239</v>
      </c>
    </row>
    <row r="82" ht="15.75" customHeight="1">
      <c r="A82" s="8">
        <v>4.6</v>
      </c>
      <c r="B82" s="21">
        <v>0.210410656905399</v>
      </c>
      <c r="C82" s="21">
        <v>0.592075690746333</v>
      </c>
      <c r="D82" s="22">
        <v>0.0457412101912882</v>
      </c>
    </row>
    <row r="83" ht="15.75" customHeight="1">
      <c r="A83" s="8">
        <v>4.7</v>
      </c>
      <c r="B83" s="21">
        <v>0.204011665253769</v>
      </c>
      <c r="C83" s="21">
        <v>0.59972527043053</v>
      </c>
      <c r="D83" s="22">
        <v>0.0434063843134488</v>
      </c>
    </row>
    <row r="84" ht="15.75" customHeight="1">
      <c r="A84" s="8">
        <v>4.8</v>
      </c>
      <c r="B84" s="21">
        <v>0.196719865014849</v>
      </c>
      <c r="C84" s="21">
        <v>0.606982591320441</v>
      </c>
      <c r="D84" s="22">
        <v>0.0409833029630245</v>
      </c>
    </row>
    <row r="85" ht="15.75" customHeight="1">
      <c r="A85" s="8">
        <v>4.9</v>
      </c>
      <c r="B85" s="21">
        <v>0.188656080280269</v>
      </c>
      <c r="C85" s="21">
        <v>0.613918132184583</v>
      </c>
      <c r="D85" s="22">
        <v>0.0385006032259516</v>
      </c>
    </row>
    <row r="86" ht="15.75" customHeight="1">
      <c r="A86" s="8">
        <v>5.0</v>
      </c>
      <c r="B86" s="21">
        <v>0.179860642479834</v>
      </c>
      <c r="C86" s="21">
        <v>0.620523010059921</v>
      </c>
      <c r="D86" s="22">
        <v>0.0359719198442261</v>
      </c>
    </row>
    <row r="87" ht="15.75" customHeight="1">
      <c r="A87" s="8">
        <v>5.1</v>
      </c>
      <c r="B87" s="21">
        <v>0.170334503359585</v>
      </c>
      <c r="C87" s="21">
        <v>0.626804780094414</v>
      </c>
      <c r="D87" s="22">
        <v>0.0333990280345404</v>
      </c>
    </row>
    <row r="88" ht="15.75" customHeight="1">
      <c r="A88" s="8">
        <v>5.2</v>
      </c>
      <c r="B88" s="21">
        <v>0.160154418037885</v>
      </c>
      <c r="C88" s="21">
        <v>0.632852295882262</v>
      </c>
      <c r="D88" s="22">
        <v>0.0308002819265251</v>
      </c>
    </row>
    <row r="89" ht="15.75" customHeight="1">
      <c r="A89" s="8">
        <v>5.3</v>
      </c>
      <c r="B89" s="21">
        <v>0.149330449969638</v>
      </c>
      <c r="C89" s="21">
        <v>0.638598409629926</v>
      </c>
      <c r="D89" s="22">
        <v>0.0281761871688553</v>
      </c>
    </row>
    <row r="90" ht="15.75" customHeight="1">
      <c r="A90" s="8">
        <v>5.4</v>
      </c>
      <c r="B90" s="21">
        <v>0.137913026717529</v>
      </c>
      <c r="C90" s="21">
        <v>0.644126126663239</v>
      </c>
      <c r="D90" s="22">
        <v>0.0255391169616797</v>
      </c>
    </row>
    <row r="91" ht="15.75" customHeight="1">
      <c r="A91" s="8">
        <v>5.5</v>
      </c>
      <c r="B91" s="21">
        <v>0.125892743832497</v>
      </c>
      <c r="C91" s="21">
        <v>0.649470115046517</v>
      </c>
      <c r="D91" s="22">
        <v>0.0228879447747865</v>
      </c>
    </row>
    <row r="92" ht="15.75" customHeight="1">
      <c r="A92" s="8">
        <v>5.6</v>
      </c>
      <c r="B92" s="21">
        <v>0.113342196798926</v>
      </c>
      <c r="C92" s="21">
        <v>0.654644965495869</v>
      </c>
      <c r="D92" s="22">
        <v>0.0202392045172356</v>
      </c>
    </row>
    <row r="93" ht="15.75" customHeight="1">
      <c r="A93" s="8">
        <v>5.7</v>
      </c>
      <c r="B93" s="21">
        <v>0.10023152067028</v>
      </c>
      <c r="C93" s="21">
        <v>0.659658583902859</v>
      </c>
      <c r="D93" s="22">
        <v>0.0175836746936308</v>
      </c>
    </row>
    <row r="94" ht="15.75" customHeight="1">
      <c r="A94" s="8">
        <v>5.8</v>
      </c>
      <c r="B94" s="21">
        <v>0.0865718736136457</v>
      </c>
      <c r="C94" s="21">
        <v>0.664652608595675</v>
      </c>
      <c r="D94" s="22">
        <v>0.0149262188473429</v>
      </c>
    </row>
    <row r="95" ht="15.75" customHeight="1">
      <c r="A95" s="8">
        <v>5.9</v>
      </c>
      <c r="B95" s="21">
        <v>0.0724170096734663</v>
      </c>
      <c r="C95" s="21">
        <v>0.66966987713254</v>
      </c>
      <c r="D95" s="22">
        <v>0.0122740681557346</v>
      </c>
    </row>
    <row r="96" ht="15.75" customHeight="1">
      <c r="A96" s="8">
        <v>6.0</v>
      </c>
      <c r="B96" s="21">
        <v>0.0577658105821852</v>
      </c>
      <c r="C96" s="21">
        <v>0.674715778111628</v>
      </c>
      <c r="D96" s="22">
        <v>0.00962763390266041</v>
      </c>
    </row>
    <row r="97" ht="15.75" customHeight="1">
      <c r="A97" s="8">
        <v>6.1</v>
      </c>
      <c r="B97" s="21">
        <v>0.042669816996032</v>
      </c>
      <c r="C97" s="21">
        <v>0.679808855194829</v>
      </c>
      <c r="D97" s="22">
        <v>0.00699507119224591</v>
      </c>
    </row>
    <row r="98" ht="15.75" customHeight="1">
      <c r="A98" s="8">
        <v>6.2</v>
      </c>
      <c r="B98" s="21">
        <v>0.0271852844584832</v>
      </c>
      <c r="C98" s="21">
        <v>0.684881351688995</v>
      </c>
      <c r="D98" s="22">
        <v>0.00438477519707796</v>
      </c>
    </row>
    <row r="99" ht="15.75" customHeight="1">
      <c r="A99" s="8">
        <v>6.3</v>
      </c>
      <c r="B99" s="21">
        <v>0.0112988335170608</v>
      </c>
      <c r="C99" s="21">
        <v>0.690349466273338</v>
      </c>
      <c r="D99" s="22">
        <v>0.00179343222137291</v>
      </c>
    </row>
    <row r="100" ht="15.75" customHeight="1">
      <c r="A100" s="8">
        <v>6.4</v>
      </c>
      <c r="B100" s="21">
        <v>-0.0049972381496274</v>
      </c>
      <c r="C100" s="21">
        <v>0.695134066534639</v>
      </c>
      <c r="D100" s="22">
        <v>-7.80821580537581E-4</v>
      </c>
    </row>
    <row r="101" ht="15.75" customHeight="1">
      <c r="A101" s="8">
        <v>6.5</v>
      </c>
      <c r="B101" s="21">
        <v>-0.0217253053284829</v>
      </c>
      <c r="C101" s="21">
        <v>0.700602181118982</v>
      </c>
      <c r="D101" s="22">
        <v>-0.00334238360643528</v>
      </c>
    </row>
    <row r="102" ht="15.75" customHeight="1">
      <c r="A102" s="8">
        <v>6.6</v>
      </c>
      <c r="B102" s="21">
        <v>-0.0389028670345941</v>
      </c>
      <c r="C102" s="21">
        <v>0.706070295703325</v>
      </c>
      <c r="D102" s="22">
        <v>-0.00589436131108044</v>
      </c>
    </row>
    <row r="103" ht="15.75" customHeight="1">
      <c r="A103" s="8">
        <v>6.7</v>
      </c>
      <c r="B103" s="21">
        <v>-0.0565447476452092</v>
      </c>
      <c r="C103" s="21">
        <v>0.710854895964626</v>
      </c>
      <c r="D103" s="22">
        <v>-0.00843952402391347</v>
      </c>
      <c r="G103" s="25" t="s">
        <v>60</v>
      </c>
      <c r="H103" s="25">
        <v>4.0</v>
      </c>
    </row>
    <row r="104" ht="15.75" customHeight="1">
      <c r="A104" s="8">
        <v>6.8</v>
      </c>
      <c r="B104" s="21">
        <v>-0.0746738030895732</v>
      </c>
      <c r="C104" s="21">
        <v>0.716323010548969</v>
      </c>
      <c r="D104" s="22">
        <v>-0.0109814634270968</v>
      </c>
      <c r="G104" s="25" t="s">
        <v>61</v>
      </c>
      <c r="H104" s="25" t="s">
        <v>2</v>
      </c>
    </row>
    <row r="105" ht="15.75" customHeight="1">
      <c r="A105" s="8">
        <v>6.9</v>
      </c>
      <c r="B105" s="21">
        <v>-0.0933279579284311</v>
      </c>
      <c r="C105" s="21">
        <v>0.721791125133312</v>
      </c>
      <c r="D105" s="22">
        <v>-0.0135260088988345</v>
      </c>
      <c r="G105" s="25">
        <v>0.0</v>
      </c>
      <c r="H105" s="25">
        <v>0.262982135790759</v>
      </c>
    </row>
    <row r="106" ht="15.75" customHeight="1">
      <c r="A106" s="8">
        <v>7.0</v>
      </c>
      <c r="B106" s="21">
        <v>-0.112481851057233</v>
      </c>
      <c r="C106" s="21">
        <v>0.726963961530101</v>
      </c>
      <c r="D106" s="22">
        <v>-0.016068659076652</v>
      </c>
      <c r="G106" s="25">
        <v>5.0</v>
      </c>
      <c r="H106" s="25">
        <v>0.261393850018191</v>
      </c>
    </row>
    <row r="107" ht="15.75" customHeight="1">
      <c r="A107" s="8">
        <v>7.1</v>
      </c>
      <c r="B107" s="21">
        <v>-0.132135963659171</v>
      </c>
      <c r="C107" s="21">
        <v>0.732043839978956</v>
      </c>
      <c r="D107" s="22">
        <v>-0.0186105840900601</v>
      </c>
      <c r="G107" s="25">
        <v>10.0</v>
      </c>
      <c r="H107" s="25">
        <v>0.25436229853856</v>
      </c>
    </row>
    <row r="108" ht="15.75" customHeight="1">
      <c r="A108" s="8">
        <v>7.2</v>
      </c>
      <c r="B108" s="21">
        <v>-0.152326293247535</v>
      </c>
      <c r="C108" s="21">
        <v>0.737511954563299</v>
      </c>
      <c r="D108" s="22">
        <v>-0.0211557036335675</v>
      </c>
      <c r="G108" s="25">
        <v>15.0</v>
      </c>
      <c r="H108" s="25">
        <v>0.241612101328292</v>
      </c>
    </row>
    <row r="109" ht="15.75" customHeight="1">
      <c r="A109" s="8">
        <v>7.3</v>
      </c>
      <c r="B109" s="21">
        <v>-0.173054206850973</v>
      </c>
      <c r="C109" s="21">
        <v>0.742821493824696</v>
      </c>
      <c r="D109" s="22">
        <v>-0.0237062912916592</v>
      </c>
      <c r="G109" s="25">
        <v>20.0</v>
      </c>
      <c r="H109" s="25">
        <v>0.223031608637407</v>
      </c>
    </row>
    <row r="110" ht="15.75" customHeight="1">
      <c r="A110" s="8">
        <v>7.4</v>
      </c>
      <c r="B110" s="21">
        <v>-0.194311752828754</v>
      </c>
      <c r="C110" s="21">
        <v>0.747764669408943</v>
      </c>
      <c r="D110" s="22">
        <v>-0.0262586882776632</v>
      </c>
      <c r="G110" s="25">
        <v>25.0</v>
      </c>
      <c r="H110" s="25">
        <v>0.198690261164063</v>
      </c>
    </row>
    <row r="111" ht="15.75" customHeight="1">
      <c r="A111" s="8">
        <v>7.5</v>
      </c>
      <c r="B111" s="21">
        <v>-0.216146767652414</v>
      </c>
      <c r="C111" s="21">
        <v>0.753232783993286</v>
      </c>
      <c r="D111" s="22">
        <v>-0.0288198246155989</v>
      </c>
      <c r="G111" s="25">
        <v>30.0</v>
      </c>
      <c r="H111" s="25">
        <v>0.169056102829666</v>
      </c>
    </row>
    <row r="112" ht="15.75" customHeight="1">
      <c r="A112" s="8">
        <v>7.6</v>
      </c>
      <c r="B112" s="21">
        <v>-0.238556370213772</v>
      </c>
      <c r="C112" s="21">
        <v>0.758542955028878</v>
      </c>
      <c r="D112" s="22">
        <v>-0.0313888437985267</v>
      </c>
      <c r="G112" s="25">
        <v>35.0</v>
      </c>
      <c r="H112" s="25">
        <v>0.135608833217018</v>
      </c>
    </row>
    <row r="113" ht="15.75" customHeight="1">
      <c r="A113" s="8">
        <v>7.7</v>
      </c>
      <c r="B113" s="21">
        <v>-0.261499372647744</v>
      </c>
      <c r="C113" s="21">
        <v>0.76348549883893</v>
      </c>
      <c r="D113" s="22">
        <v>-0.0339608011327697</v>
      </c>
      <c r="G113" s="25">
        <v>40.0</v>
      </c>
      <c r="H113" s="25">
        <v>0.100871464359185</v>
      </c>
    </row>
    <row r="114" ht="15.75" customHeight="1">
      <c r="A114" s="8">
        <v>7.8</v>
      </c>
      <c r="B114" s="21">
        <v>-0.284996198689082</v>
      </c>
      <c r="C114" s="21">
        <v>0.768953613423273</v>
      </c>
      <c r="D114" s="22">
        <v>-0.0365375598362352</v>
      </c>
      <c r="G114" s="25">
        <v>45.0</v>
      </c>
      <c r="H114" s="25">
        <v>0.0678361414764909</v>
      </c>
    </row>
    <row r="115" ht="15.75" customHeight="1">
      <c r="A115" s="8">
        <v>7.9</v>
      </c>
      <c r="B115" s="21">
        <v>-0.309086202151488</v>
      </c>
      <c r="C115" s="21">
        <v>0.774358844689896</v>
      </c>
      <c r="D115" s="22">
        <v>-0.0391241440043478</v>
      </c>
      <c r="G115" s="25">
        <v>50.0</v>
      </c>
      <c r="H115" s="25">
        <v>0.0385667850843273</v>
      </c>
    </row>
    <row r="116" ht="15.75" customHeight="1">
      <c r="A116" s="8">
        <v>8.0</v>
      </c>
      <c r="B116" s="21">
        <v>-0.333739880269323</v>
      </c>
      <c r="C116" s="21">
        <v>0.779206328268916</v>
      </c>
      <c r="D116" s="22">
        <v>-0.0417168217549637</v>
      </c>
      <c r="G116" s="25">
        <v>55.0</v>
      </c>
      <c r="H116" s="25">
        <v>0.0148255618250324</v>
      </c>
    </row>
    <row r="117" ht="15.75" customHeight="1">
      <c r="A117" s="8">
        <v>8.1</v>
      </c>
      <c r="B117" s="21">
        <v>-0.358982405976459</v>
      </c>
      <c r="C117" s="21">
        <v>0.78467444285326</v>
      </c>
      <c r="D117" s="22">
        <v>-0.0443190687061022</v>
      </c>
      <c r="G117" s="25">
        <v>60.0</v>
      </c>
      <c r="H117" s="25">
        <v>-0.0020198708085151</v>
      </c>
    </row>
    <row r="118" ht="15.75" customHeight="1">
      <c r="A118" s="8">
        <v>8.2</v>
      </c>
      <c r="B118" s="21">
        <v>-0.384860600004025</v>
      </c>
      <c r="C118" s="21">
        <v>0.790142557437603</v>
      </c>
      <c r="D118" s="22">
        <v>-0.0469346261993211</v>
      </c>
      <c r="G118" s="25">
        <v>65.0</v>
      </c>
      <c r="H118" s="25">
        <v>-0.0209421231798489</v>
      </c>
    </row>
    <row r="119" ht="15.75" customHeight="1">
      <c r="A119" s="8">
        <v>8.3</v>
      </c>
      <c r="B119" s="21">
        <v>-0.411340970150192</v>
      </c>
      <c r="C119" s="21">
        <v>0.794927157698903</v>
      </c>
      <c r="D119" s="22">
        <v>-0.0495591773020536</v>
      </c>
      <c r="G119" s="25">
        <v>70.0</v>
      </c>
      <c r="H119" s="25">
        <v>-0.0446698735821189</v>
      </c>
    </row>
    <row r="120" ht="15.75" customHeight="1">
      <c r="A120" s="8">
        <v>8.4</v>
      </c>
      <c r="B120" s="21">
        <v>-0.438431035072513</v>
      </c>
      <c r="C120" s="21">
        <v>0.800395272283247</v>
      </c>
      <c r="D120" s="22">
        <v>-0.0521938731963176</v>
      </c>
    </row>
    <row r="121" ht="15.75" customHeight="1">
      <c r="A121" s="8">
        <v>8.5</v>
      </c>
      <c r="B121" s="21">
        <v>-0.466165312244302</v>
      </c>
      <c r="C121" s="21">
        <v>0.80586338686759</v>
      </c>
      <c r="D121" s="22">
        <v>-0.0548438942011931</v>
      </c>
    </row>
    <row r="122" ht="15.75" customHeight="1">
      <c r="A122" s="8">
        <v>8.6</v>
      </c>
      <c r="B122" s="21">
        <v>-0.494574901567258</v>
      </c>
      <c r="C122" s="21">
        <v>0.81064798712889</v>
      </c>
      <c r="D122" s="22">
        <v>-0.0575092403166799</v>
      </c>
    </row>
    <row r="123" ht="15.75" customHeight="1">
      <c r="A123" s="8">
        <v>8.7</v>
      </c>
      <c r="B123" s="21">
        <v>-0.523649892083695</v>
      </c>
      <c r="C123" s="21">
        <v>0.816116101713234</v>
      </c>
      <c r="D123" s="22">
        <v>-0.0601898395939019</v>
      </c>
    </row>
    <row r="124" ht="15.75" customHeight="1">
      <c r="A124" s="8">
        <v>8.8</v>
      </c>
      <c r="B124" s="21">
        <v>-0.553399511236976</v>
      </c>
      <c r="C124" s="21">
        <v>0.820900701974534</v>
      </c>
      <c r="D124" s="22">
        <v>-0.0628869871126293</v>
      </c>
    </row>
    <row r="125" ht="15.75" customHeight="1">
      <c r="A125" s="8">
        <v>8.9</v>
      </c>
      <c r="B125" s="21">
        <v>-0.583866580790965</v>
      </c>
      <c r="C125" s="21">
        <v>0.825889539583357</v>
      </c>
      <c r="D125" s="22">
        <v>-0.0656025409310887</v>
      </c>
    </row>
    <row r="126" ht="15.75" customHeight="1">
      <c r="A126" s="8">
        <v>9.0</v>
      </c>
      <c r="B126" s="21">
        <v>-0.615018563013036</v>
      </c>
      <c r="C126" s="21">
        <v>0.831153416820178</v>
      </c>
      <c r="D126" s="22">
        <v>-0.0683355232898523</v>
      </c>
    </row>
    <row r="127" ht="15.75" customHeight="1">
      <c r="A127" s="8">
        <v>9.1</v>
      </c>
      <c r="B127" s="21">
        <v>-0.646897093728854</v>
      </c>
      <c r="C127" s="21">
        <v>0.835938017081478</v>
      </c>
      <c r="D127" s="22">
        <v>-0.071087720011622</v>
      </c>
    </row>
    <row r="128" ht="15.75" customHeight="1">
      <c r="A128" s="8">
        <v>9.2</v>
      </c>
      <c r="B128" s="21">
        <v>-0.679497995603874</v>
      </c>
      <c r="C128" s="21">
        <v>0.840722617342778</v>
      </c>
      <c r="D128" s="22">
        <v>-0.0738592477625036</v>
      </c>
    </row>
    <row r="129" ht="15.75" customHeight="1">
      <c r="A129" s="8">
        <v>9.3</v>
      </c>
      <c r="B129" s="21">
        <v>-0.712830594115381</v>
      </c>
      <c r="C129" s="21">
        <v>0.845233811874862</v>
      </c>
      <c r="D129" s="22">
        <v>-0.0766489364416513</v>
      </c>
    </row>
    <row r="130" ht="15.75" customHeight="1">
      <c r="A130" s="8">
        <v>9.4</v>
      </c>
      <c r="B130" s="21">
        <v>-0.746895580947194</v>
      </c>
      <c r="C130" s="21">
        <v>0.849608303542336</v>
      </c>
      <c r="D130" s="22">
        <v>-0.0794572449739682</v>
      </c>
    </row>
    <row r="131" ht="15.75" customHeight="1">
      <c r="A131" s="8">
        <v>9.5</v>
      </c>
      <c r="B131" s="21">
        <v>-0.78169155639269</v>
      </c>
      <c r="C131" s="21">
        <v>0.854392903803636</v>
      </c>
      <c r="D131" s="22">
        <v>-0.0822831425699783</v>
      </c>
    </row>
    <row r="132" ht="15.75" customHeight="1">
      <c r="A132" s="8">
        <v>9.6</v>
      </c>
      <c r="B132" s="21">
        <v>-0.817227496002501</v>
      </c>
      <c r="C132" s="21">
        <v>0.858767395471111</v>
      </c>
      <c r="D132" s="22">
        <v>-0.0851271761557994</v>
      </c>
    </row>
    <row r="133" ht="15.75" customHeight="1">
      <c r="A133" s="8">
        <v>9.7</v>
      </c>
      <c r="B133" s="21">
        <v>-0.853508094512458</v>
      </c>
      <c r="C133" s="21">
        <v>0.863278590003194</v>
      </c>
      <c r="D133" s="22">
        <v>-0.0879898060895792</v>
      </c>
    </row>
    <row r="134" ht="15.75" customHeight="1">
      <c r="A134" s="8">
        <v>9.8</v>
      </c>
      <c r="B134" s="21">
        <v>-0.890479042488687</v>
      </c>
      <c r="C134" s="21">
        <v>0.867379675941452</v>
      </c>
      <c r="D134" s="22">
        <v>-0.0908702073957582</v>
      </c>
    </row>
    <row r="135" ht="15.75" customHeight="1">
      <c r="A135" s="8">
        <v>9.9</v>
      </c>
      <c r="B135" s="21">
        <v>-0.928301307554266</v>
      </c>
      <c r="C135" s="21">
        <v>0.871849859614152</v>
      </c>
      <c r="D135" s="22">
        <v>-0.0937683800743362</v>
      </c>
    </row>
    <row r="136" ht="15.75" customHeight="1">
      <c r="A136" s="8">
        <v>10.0</v>
      </c>
      <c r="B136" s="21">
        <v>-0.966869815040224</v>
      </c>
      <c r="C136" s="21">
        <v>0.87626536214101</v>
      </c>
      <c r="D136" s="22">
        <v>-0.0966815889214256</v>
      </c>
    </row>
    <row r="137" ht="15.75" customHeight="1">
      <c r="A137" s="8">
        <v>10.1</v>
      </c>
      <c r="B137" s="21">
        <v>-1.00615827279202</v>
      </c>
      <c r="C137" s="21">
        <v>0.880366448079267</v>
      </c>
      <c r="D137" s="22">
        <v>-0.0996136489473535</v>
      </c>
    </row>
    <row r="138" ht="15.75" customHeight="1">
      <c r="A138" s="8">
        <v>10.2</v>
      </c>
      <c r="B138" s="21">
        <v>-1.04604923071901</v>
      </c>
      <c r="C138" s="21">
        <v>0.884467534017524</v>
      </c>
      <c r="D138" s="22">
        <v>-0.102560543054312</v>
      </c>
    </row>
    <row r="139" ht="15.75" customHeight="1">
      <c r="A139" s="8">
        <v>10.3</v>
      </c>
      <c r="B139" s="21">
        <v>-1.08688648835619</v>
      </c>
      <c r="C139" s="21">
        <v>0.888568619955782</v>
      </c>
      <c r="D139" s="22">
        <v>-0.105525567704752</v>
      </c>
    </row>
    <row r="140" ht="15.75" customHeight="1">
      <c r="A140" s="8">
        <v>10.4</v>
      </c>
      <c r="B140" s="21">
        <v>-1.12852999334646</v>
      </c>
      <c r="C140" s="21">
        <v>0.892669705894039</v>
      </c>
      <c r="D140" s="22">
        <v>-0.108508042680814</v>
      </c>
    </row>
    <row r="141" ht="15.75" customHeight="1">
      <c r="A141" s="8">
        <v>10.5</v>
      </c>
      <c r="B141" s="21">
        <v>-1.17073613138167</v>
      </c>
      <c r="C141" s="21">
        <v>0.896599232460378</v>
      </c>
      <c r="D141" s="22">
        <v>-0.111506855498082</v>
      </c>
    </row>
    <row r="142" ht="15.75" customHeight="1">
      <c r="A142" s="8">
        <v>10.6</v>
      </c>
      <c r="B142" s="21">
        <v>-1.21398338971962</v>
      </c>
      <c r="C142" s="21">
        <v>0.900188363447511</v>
      </c>
      <c r="D142" s="22">
        <v>-0.114521327085291</v>
      </c>
    </row>
    <row r="143" ht="15.75" customHeight="1">
      <c r="A143" s="8">
        <v>10.7</v>
      </c>
      <c r="B143" s="21">
        <v>-1.25776888154741</v>
      </c>
      <c r="C143" s="21">
        <v>0.904289449385769</v>
      </c>
      <c r="D143" s="22">
        <v>-0.117553959027468</v>
      </c>
    </row>
    <row r="144" ht="15.75" customHeight="1">
      <c r="A144" s="8">
        <v>10.8</v>
      </c>
      <c r="B144" s="21">
        <v>-1.30248283635704</v>
      </c>
      <c r="C144" s="21">
        <v>0.908390535324026</v>
      </c>
      <c r="D144" s="22">
        <v>-0.120602082049975</v>
      </c>
    </row>
    <row r="145" ht="15.75" customHeight="1">
      <c r="A145" s="8">
        <v>10.9</v>
      </c>
      <c r="B145" s="21">
        <v>-1.34806520836833</v>
      </c>
      <c r="C145" s="21">
        <v>0.911808106939241</v>
      </c>
      <c r="D145" s="22">
        <v>-0.123668795400814</v>
      </c>
    </row>
    <row r="146" ht="15.75" customHeight="1">
      <c r="A146" s="8">
        <v>11.0</v>
      </c>
      <c r="B146" s="21">
        <v>-1.39429092802432</v>
      </c>
      <c r="C146" s="21">
        <v>0.915909192877498</v>
      </c>
      <c r="D146" s="22">
        <v>-0.126749124574821</v>
      </c>
    </row>
    <row r="147" ht="15.75" customHeight="1">
      <c r="A147" s="8">
        <v>11.1</v>
      </c>
      <c r="B147" s="21">
        <v>-1.44133700102619</v>
      </c>
      <c r="C147" s="21">
        <v>0.919669883236551</v>
      </c>
      <c r="D147" s="22">
        <v>-0.1298480859279</v>
      </c>
    </row>
    <row r="148" ht="15.75" customHeight="1">
      <c r="A148" s="8">
        <v>11.2</v>
      </c>
      <c r="B148" s="21">
        <v>-1.48919316104328</v>
      </c>
      <c r="C148" s="21">
        <v>0.92342785043097</v>
      </c>
      <c r="D148" s="22">
        <v>-0.132963177875024</v>
      </c>
    </row>
    <row r="149" ht="15.75" customHeight="1">
      <c r="A149" s="8">
        <v>11.3</v>
      </c>
      <c r="B149" s="21">
        <v>-1.53787988627362</v>
      </c>
      <c r="C149" s="21">
        <v>0.926984858968086</v>
      </c>
      <c r="D149" s="22">
        <v>-0.13609460880995</v>
      </c>
    </row>
    <row r="150" ht="15.75" customHeight="1">
      <c r="A150" s="8">
        <v>11.4</v>
      </c>
      <c r="B150" s="21">
        <v>-1.58740733412131</v>
      </c>
      <c r="C150" s="21">
        <v>0.930946507984442</v>
      </c>
      <c r="D150" s="22">
        <v>-0.139243451372894</v>
      </c>
    </row>
    <row r="151" ht="15.75" customHeight="1">
      <c r="A151" s="8">
        <v>11.5</v>
      </c>
      <c r="B151" s="21">
        <v>-1.6377724818736</v>
      </c>
      <c r="C151" s="21">
        <v>0.934364079599657</v>
      </c>
      <c r="D151" s="22">
        <v>-0.142409184436141</v>
      </c>
    </row>
    <row r="152" ht="15.75" customHeight="1">
      <c r="A152" s="8">
        <v>11.6</v>
      </c>
      <c r="B152" s="21">
        <v>-1.68892372556068</v>
      </c>
      <c r="C152" s="21">
        <v>0.938053967678235</v>
      </c>
      <c r="D152" s="22">
        <v>-0.145591488959455</v>
      </c>
    </row>
    <row r="153" ht="15.75" customHeight="1">
      <c r="A153" s="8">
        <v>11.7</v>
      </c>
      <c r="B153" s="21">
        <v>-1.74086809094731</v>
      </c>
      <c r="C153" s="21">
        <v>0.941882737153129</v>
      </c>
      <c r="D153" s="22">
        <v>-0.148791637377342</v>
      </c>
    </row>
    <row r="154" ht="15.75" customHeight="1">
      <c r="A154" s="8">
        <v>11.8</v>
      </c>
      <c r="B154" s="21">
        <v>-1.79369408088408</v>
      </c>
      <c r="C154" s="21">
        <v>0.945300308768343</v>
      </c>
      <c r="D154" s="22">
        <v>-0.152008984729757</v>
      </c>
    </row>
    <row r="155" ht="15.75" customHeight="1">
      <c r="A155" s="8">
        <v>11.9</v>
      </c>
      <c r="B155" s="21">
        <v>-1.84731023788676</v>
      </c>
      <c r="C155" s="21">
        <v>0.948717880383558</v>
      </c>
      <c r="D155" s="22">
        <v>-0.155243802186568</v>
      </c>
    </row>
    <row r="156" ht="15.75" customHeight="1">
      <c r="A156" s="8">
        <v>12.0</v>
      </c>
      <c r="B156" s="21">
        <v>-1.90191277958305</v>
      </c>
      <c r="C156" s="21">
        <v>0.952135451998773</v>
      </c>
      <c r="D156" s="22">
        <v>-0.158495171897969</v>
      </c>
    </row>
    <row r="157" ht="15.75" customHeight="1">
      <c r="A157" s="8">
        <v>12.1</v>
      </c>
      <c r="B157" s="21">
        <v>-1.95737654932636</v>
      </c>
      <c r="C157" s="21">
        <v>0.955553023613987</v>
      </c>
      <c r="D157" s="22">
        <v>-0.161764025186264</v>
      </c>
    </row>
    <row r="158" ht="15.75" customHeight="1">
      <c r="A158" s="8">
        <v>12.2</v>
      </c>
      <c r="B158" s="21">
        <v>-2.01368787683025</v>
      </c>
      <c r="C158" s="21">
        <v>0.958970595229202</v>
      </c>
      <c r="D158" s="22">
        <v>-0.165048851125056</v>
      </c>
    </row>
    <row r="159" ht="15.75" customHeight="1">
      <c r="A159" s="8">
        <v>12.3</v>
      </c>
      <c r="B159" s="21">
        <v>-2.07074544675452</v>
      </c>
      <c r="C159" s="21">
        <v>0.962388166844416</v>
      </c>
      <c r="D159" s="22">
        <v>-0.168351555642939</v>
      </c>
    </row>
    <row r="160" ht="15.75" customHeight="1">
      <c r="A160" s="8">
        <v>12.4</v>
      </c>
      <c r="B160" s="21">
        <v>-2.12871481389307</v>
      </c>
      <c r="C160" s="21">
        <v>0.965805738459631</v>
      </c>
      <c r="D160" s="22">
        <v>-0.171671738291388</v>
      </c>
    </row>
    <row r="161" ht="15.75" customHeight="1">
      <c r="A161" s="8">
        <v>12.5</v>
      </c>
      <c r="B161" s="21">
        <v>-2.18755683275429</v>
      </c>
      <c r="C161" s="21">
        <v>0.969223310074845</v>
      </c>
      <c r="D161" s="22">
        <v>-0.175006215834269</v>
      </c>
    </row>
    <row r="162" ht="15.75" customHeight="1">
      <c r="A162" s="8">
        <v>12.6</v>
      </c>
      <c r="B162" s="21">
        <v>-2.24723446829917</v>
      </c>
      <c r="C162" s="21">
        <v>0.97264088169006</v>
      </c>
      <c r="D162" s="22">
        <v>-0.178358098125596</v>
      </c>
    </row>
    <row r="163" ht="15.75" customHeight="1">
      <c r="A163" s="8">
        <v>12.7</v>
      </c>
      <c r="B163" s="21">
        <v>-2.3078547953611</v>
      </c>
      <c r="C163" s="21">
        <v>0.976058453305274</v>
      </c>
      <c r="D163" s="22">
        <v>-0.181738991293035</v>
      </c>
    </row>
    <row r="164" ht="15.75" customHeight="1">
      <c r="A164" s="8">
        <v>12.8</v>
      </c>
      <c r="B164" s="21">
        <v>-2.3693949121255</v>
      </c>
      <c r="C164" s="21">
        <v>0.979288126560768</v>
      </c>
      <c r="D164" s="22">
        <v>-0.185129331261913</v>
      </c>
    </row>
    <row r="165" ht="15.75" customHeight="1">
      <c r="A165" s="8">
        <v>12.9</v>
      </c>
      <c r="B165" s="21">
        <v>-2.43189269781244</v>
      </c>
      <c r="C165" s="21">
        <v>0.982303040160594</v>
      </c>
      <c r="D165" s="22">
        <v>-0.188531237514262</v>
      </c>
    </row>
    <row r="166" ht="15.75" customHeight="1">
      <c r="A166" s="8">
        <v>13.0</v>
      </c>
      <c r="B166" s="21">
        <v>-2.49522371741398</v>
      </c>
      <c r="C166" s="21">
        <v>0.985627653827875</v>
      </c>
      <c r="D166" s="22">
        <v>-0.191954565039565</v>
      </c>
    </row>
    <row r="167" ht="15.75" customHeight="1">
      <c r="A167" s="8">
        <v>13.1</v>
      </c>
      <c r="B167" s="21">
        <v>-2.55945697592194</v>
      </c>
      <c r="C167" s="21">
        <v>0.98904522544309</v>
      </c>
      <c r="D167" s="22">
        <v>-0.195394440806374</v>
      </c>
    </row>
    <row r="168" ht="15.75" customHeight="1">
      <c r="A168" s="8">
        <v>13.2</v>
      </c>
      <c r="B168" s="21">
        <v>-2.62464373691054</v>
      </c>
      <c r="C168" s="21">
        <v>0.991981602974882</v>
      </c>
      <c r="D168" s="22">
        <v>-0.198838633505749</v>
      </c>
    </row>
    <row r="169" ht="15.75" customHeight="1">
      <c r="A169" s="8">
        <v>13.3</v>
      </c>
      <c r="B169" s="21">
        <v>-2.69060920044196</v>
      </c>
      <c r="C169" s="21">
        <v>0.995196854350476</v>
      </c>
      <c r="D169" s="22">
        <v>-0.202292434676547</v>
      </c>
    </row>
    <row r="170" ht="15.75" customHeight="1">
      <c r="A170" s="8">
        <v>13.4</v>
      </c>
      <c r="B170" s="21">
        <v>-2.7576111957437</v>
      </c>
      <c r="C170" s="21">
        <v>0.998543340476094</v>
      </c>
      <c r="D170" s="22">
        <v>-0.205807601645742</v>
      </c>
    </row>
    <row r="171" ht="15.75" customHeight="1">
      <c r="A171" s="8">
        <v>13.5</v>
      </c>
      <c r="B171" s="21">
        <v>-2.82548758559347</v>
      </c>
      <c r="C171" s="21">
        <v>1.00134848325786</v>
      </c>
      <c r="D171" s="22">
        <v>-0.209290646738217</v>
      </c>
    </row>
    <row r="172" ht="15.75" customHeight="1">
      <c r="A172" s="8">
        <v>13.6</v>
      </c>
      <c r="B172" s="21">
        <v>-2.89429851108222</v>
      </c>
      <c r="C172" s="21">
        <v>1.00476605487308</v>
      </c>
      <c r="D172" s="22">
        <v>-0.212831798430995</v>
      </c>
    </row>
    <row r="173" ht="15.75" customHeight="1">
      <c r="A173" s="8">
        <v>13.7</v>
      </c>
      <c r="B173" s="21">
        <v>-2.96398809287166</v>
      </c>
      <c r="C173" s="21">
        <v>1.00759033605589</v>
      </c>
      <c r="D173" s="22">
        <v>-0.216335880686886</v>
      </c>
    </row>
    <row r="174" ht="15.75" customHeight="1">
      <c r="A174" s="8">
        <v>13.8</v>
      </c>
      <c r="B174" s="21">
        <v>-3.03471473744852</v>
      </c>
      <c r="C174" s="21">
        <v>1.01091768378046</v>
      </c>
      <c r="D174" s="22">
        <v>-0.219900947498126</v>
      </c>
    </row>
    <row r="175" ht="15.75" customHeight="1">
      <c r="A175" s="8">
        <v>13.9</v>
      </c>
      <c r="B175" s="21">
        <v>-3.10626159921304</v>
      </c>
      <c r="C175" s="21">
        <v>1.0138731997133</v>
      </c>
      <c r="D175" s="22">
        <v>-0.223478965107065</v>
      </c>
    </row>
    <row r="176" ht="15.75" customHeight="1">
      <c r="A176" s="8">
        <v>14.0</v>
      </c>
      <c r="B176" s="21">
        <v>-3.17879955674597</v>
      </c>
      <c r="C176" s="21">
        <v>1.01706931268785</v>
      </c>
      <c r="D176" s="22">
        <v>-0.22706705555866</v>
      </c>
    </row>
    <row r="177" ht="15.75" customHeight="1">
      <c r="A177" s="8">
        <v>14.1</v>
      </c>
      <c r="B177" s="21">
        <v>-3.25227051132985</v>
      </c>
      <c r="C177" s="21">
        <v>1.01991273227171</v>
      </c>
      <c r="D177" s="22">
        <v>-0.230666657830432</v>
      </c>
    </row>
    <row r="178" ht="15.75" customHeight="1">
      <c r="A178" s="8">
        <v>14.2</v>
      </c>
      <c r="B178" s="21">
        <v>-3.32668813325115</v>
      </c>
      <c r="C178" s="21">
        <v>1.02322094159524</v>
      </c>
      <c r="D178" s="22">
        <v>-0.234277771922382</v>
      </c>
    </row>
    <row r="179" ht="15.75" customHeight="1">
      <c r="A179" s="8">
        <v>14.3</v>
      </c>
      <c r="B179" s="21">
        <v>-3.40205978867019</v>
      </c>
      <c r="C179" s="21">
        <v>1.02595499888741</v>
      </c>
      <c r="D179" s="22">
        <v>-0.237898528883624</v>
      </c>
    </row>
    <row r="180" ht="15.75" customHeight="1">
      <c r="A180" s="8">
        <v>14.4</v>
      </c>
      <c r="B180" s="21">
        <v>-3.4784351481099</v>
      </c>
      <c r="C180" s="21">
        <v>1.02937257050262</v>
      </c>
      <c r="D180" s="22">
        <v>-0.24154460840947</v>
      </c>
    </row>
    <row r="181" ht="15.75" customHeight="1">
      <c r="A181" s="8">
        <v>14.5</v>
      </c>
      <c r="B181" s="21">
        <v>-3.55566329378628</v>
      </c>
      <c r="C181" s="21">
        <v>1.03210662779479</v>
      </c>
      <c r="D181" s="22">
        <v>-0.2452317245931</v>
      </c>
    </row>
    <row r="182" ht="15.75" customHeight="1">
      <c r="A182" s="8">
        <v>14.6</v>
      </c>
      <c r="B182" s="21">
        <v>-3.63398491260548</v>
      </c>
      <c r="C182" s="21">
        <v>1.03512117104423</v>
      </c>
      <c r="D182" s="22">
        <v>-0.24888649818035</v>
      </c>
    </row>
    <row r="183" ht="15.75" customHeight="1">
      <c r="A183" s="8">
        <v>14.7</v>
      </c>
      <c r="B183" s="21">
        <v>-3.71317788964414</v>
      </c>
      <c r="C183" s="21">
        <v>1.03825825670218</v>
      </c>
      <c r="D183" s="22">
        <v>-0.25260746760011</v>
      </c>
    </row>
    <row r="184" ht="15.75" customHeight="1">
      <c r="A184" s="8">
        <v>14.8</v>
      </c>
      <c r="B184" s="21">
        <v>-3.79333089114275</v>
      </c>
      <c r="C184" s="21">
        <v>1.04099231399435</v>
      </c>
      <c r="D184" s="22">
        <v>-0.256301388828835</v>
      </c>
    </row>
    <row r="185" ht="15.75" customHeight="1">
      <c r="A185" s="8">
        <v>14.9</v>
      </c>
      <c r="B185" s="21">
        <v>-3.8744982170041</v>
      </c>
      <c r="C185" s="21">
        <v>1.04404498154866</v>
      </c>
      <c r="D185" s="22">
        <v>-0.260026391398741</v>
      </c>
    </row>
    <row r="186" ht="15.75" customHeight="1">
      <c r="A186" s="13">
        <v>15.0</v>
      </c>
      <c r="B186" s="32">
        <v>-3.95669013355885</v>
      </c>
      <c r="C186" s="32">
        <v>1.04714394290174</v>
      </c>
      <c r="D186" s="38">
        <v>-0.263780775481801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44:E44"/>
    <mergeCell ref="R44:T4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4" width="8.71"/>
    <col customWidth="1" min="5" max="5" width="11.86"/>
    <col customWidth="1" min="6" max="6" width="8.71"/>
    <col customWidth="1" min="7" max="7" width="14.86"/>
    <col customWidth="1" min="8" max="12" width="8.71"/>
    <col customWidth="1" min="13" max="13" width="16.86"/>
    <col customWidth="1" min="14" max="14" width="12.71"/>
    <col customWidth="1" min="15" max="15" width="15.86"/>
    <col customWidth="1" min="16" max="16" width="9.86"/>
    <col customWidth="1" min="17" max="17" width="14.71"/>
    <col customWidth="1" min="18" max="26" width="8.71"/>
  </cols>
  <sheetData>
    <row r="1">
      <c r="A1" s="1" t="s">
        <v>62</v>
      </c>
    </row>
    <row r="2">
      <c r="B2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3" t="s">
        <v>2</v>
      </c>
      <c r="B27" s="4">
        <v>0.2266</v>
      </c>
      <c r="C27" s="5"/>
    </row>
    <row r="28" ht="15.75" customHeight="1">
      <c r="A28" s="6" t="s">
        <v>3</v>
      </c>
      <c r="B28" s="2"/>
      <c r="C28" s="7"/>
    </row>
    <row r="29" ht="15.75" customHeight="1">
      <c r="A29" s="8" t="s">
        <v>4</v>
      </c>
      <c r="B29" s="2">
        <v>4.8</v>
      </c>
      <c r="C29" s="7" t="s">
        <v>5</v>
      </c>
      <c r="E29" s="2" t="s">
        <v>6</v>
      </c>
      <c r="F29" s="9">
        <f>PI()*(B29^2 - (B29-B30)^2)</f>
        <v>62.20353454</v>
      </c>
      <c r="G29" s="2" t="s">
        <v>63</v>
      </c>
    </row>
    <row r="30" ht="15.75" customHeight="1">
      <c r="A30" s="8" t="s">
        <v>8</v>
      </c>
      <c r="B30" s="2">
        <v>3.0</v>
      </c>
      <c r="C30" s="7" t="s">
        <v>5</v>
      </c>
      <c r="S30" s="42"/>
      <c r="T30" s="42"/>
      <c r="U30" s="42"/>
      <c r="V30" s="42"/>
      <c r="W30" s="42"/>
    </row>
    <row r="31" ht="15.75" customHeight="1">
      <c r="A31" s="8" t="s">
        <v>9</v>
      </c>
      <c r="B31" s="2">
        <v>0.5</v>
      </c>
      <c r="C31" s="7" t="s">
        <v>5</v>
      </c>
      <c r="S31" s="42"/>
      <c r="T31" s="42"/>
      <c r="U31" s="42"/>
      <c r="V31" s="42"/>
      <c r="W31" s="42"/>
    </row>
    <row r="32" ht="15.75" customHeight="1">
      <c r="A32" s="10" t="s">
        <v>10</v>
      </c>
      <c r="B32" s="11">
        <f>(B31*3)/5</f>
        <v>0.3</v>
      </c>
      <c r="C32" s="12" t="s">
        <v>5</v>
      </c>
      <c r="S32" s="42"/>
      <c r="T32" s="42"/>
      <c r="U32" s="42"/>
      <c r="V32" s="42"/>
      <c r="W32" s="42"/>
    </row>
    <row r="33" ht="15.75" customHeight="1">
      <c r="S33" s="42"/>
      <c r="T33" s="42"/>
      <c r="U33" s="42"/>
      <c r="V33" s="42"/>
      <c r="W33" s="42"/>
    </row>
    <row r="34" ht="15.75" customHeight="1">
      <c r="A34" s="2" t="s">
        <v>11</v>
      </c>
      <c r="B34" s="2">
        <v>4.2</v>
      </c>
      <c r="S34" s="42"/>
      <c r="T34" s="42"/>
      <c r="U34" s="42"/>
      <c r="V34" s="42"/>
      <c r="W34" s="42"/>
    </row>
    <row r="35" ht="15.75" customHeight="1"/>
    <row r="36" ht="15.75" customHeight="1">
      <c r="A36" s="2" t="s">
        <v>12</v>
      </c>
    </row>
    <row r="37" ht="15.75" customHeight="1">
      <c r="A37" s="3" t="s">
        <v>13</v>
      </c>
      <c r="B37" s="4">
        <v>11492.0</v>
      </c>
      <c r="C37" s="5" t="s">
        <v>14</v>
      </c>
    </row>
    <row r="38" ht="15.75" customHeight="1">
      <c r="A38" s="8" t="s">
        <v>15</v>
      </c>
      <c r="B38" s="2">
        <v>92.0</v>
      </c>
      <c r="C38" s="7" t="s">
        <v>16</v>
      </c>
    </row>
    <row r="39" ht="15.75" customHeight="1">
      <c r="A39" s="8" t="s">
        <v>17</v>
      </c>
      <c r="B39" s="2">
        <v>1194.0</v>
      </c>
      <c r="C39" s="7" t="s">
        <v>18</v>
      </c>
      <c r="N39" s="2" t="s">
        <v>19</v>
      </c>
      <c r="O39" s="2">
        <v>1.225</v>
      </c>
      <c r="P39" s="2" t="s">
        <v>20</v>
      </c>
    </row>
    <row r="40" ht="15.75" customHeight="1">
      <c r="A40" s="13" t="s">
        <v>21</v>
      </c>
      <c r="B40" s="11">
        <v>2944.0</v>
      </c>
      <c r="C40" s="12" t="s">
        <v>22</v>
      </c>
    </row>
    <row r="41" ht="15.75" customHeight="1"/>
    <row r="42" ht="15.75" customHeight="1">
      <c r="A42" s="2" t="s">
        <v>24</v>
      </c>
      <c r="B42" s="2">
        <v>2.5</v>
      </c>
      <c r="C42" s="2" t="s">
        <v>25</v>
      </c>
    </row>
    <row r="43" ht="15.75" customHeight="1"/>
    <row r="44" ht="15.75" customHeight="1">
      <c r="A44" s="1" t="s">
        <v>26</v>
      </c>
      <c r="R44" s="39" t="s">
        <v>27</v>
      </c>
      <c r="S44" s="40"/>
      <c r="T44" s="41"/>
    </row>
    <row r="45" ht="15.75" customHeight="1">
      <c r="A45" s="3" t="s">
        <v>28</v>
      </c>
      <c r="B45" s="4" t="s">
        <v>2</v>
      </c>
      <c r="C45" s="4" t="s">
        <v>29</v>
      </c>
      <c r="D45" s="5" t="s">
        <v>30</v>
      </c>
      <c r="G45" s="2" t="s">
        <v>31</v>
      </c>
      <c r="H45" s="17">
        <v>11.0</v>
      </c>
      <c r="J45" s="2" t="s">
        <v>32</v>
      </c>
      <c r="K45" s="2">
        <v>1.225</v>
      </c>
      <c r="M45" s="18" t="s">
        <v>33</v>
      </c>
      <c r="N45" s="19" t="s">
        <v>34</v>
      </c>
      <c r="O45" s="19" t="s">
        <v>35</v>
      </c>
      <c r="P45" s="19" t="s">
        <v>36</v>
      </c>
      <c r="Q45" s="19" t="s">
        <v>37</v>
      </c>
      <c r="R45" s="19" t="s">
        <v>2</v>
      </c>
      <c r="S45" s="19" t="s">
        <v>29</v>
      </c>
      <c r="T45" s="19" t="s">
        <v>30</v>
      </c>
      <c r="U45" s="19" t="s">
        <v>38</v>
      </c>
      <c r="V45" s="20" t="s">
        <v>39</v>
      </c>
    </row>
    <row r="46" ht="15.75" customHeight="1">
      <c r="A46" s="8">
        <v>1.0</v>
      </c>
      <c r="B46" s="21">
        <v>0.0138440243644842</v>
      </c>
      <c r="C46" s="21">
        <v>0.108080933800154</v>
      </c>
      <c r="D46" s="22">
        <v>0.0138445009182951</v>
      </c>
      <c r="G46" s="2" t="s">
        <v>37</v>
      </c>
      <c r="H46" s="17">
        <v>4.2</v>
      </c>
      <c r="M46" s="8">
        <v>4.0</v>
      </c>
      <c r="N46" s="43">
        <f t="shared" ref="N46:N68" si="1">(0.5*$O$39*$F$29*(M46^3))*R46</f>
        <v>570.9925</v>
      </c>
      <c r="O46" s="43">
        <f t="shared" ref="O46:O68" si="2">0.5*$O$39*$F$29*(M46^2)*$B$29*T46</f>
        <v>167.1194</v>
      </c>
      <c r="P46" s="43">
        <f t="shared" ref="P46:P68" si="3">0.5*$O$39*$F$29*(M46^2)*S46</f>
        <v>334.038</v>
      </c>
      <c r="Q46" s="2">
        <v>4.1</v>
      </c>
      <c r="R46" s="21">
        <f t="shared" ref="R46:R68" si="4">VLOOKUP(Q46,$A$46:$D$186,2)</f>
        <v>0.2341689313</v>
      </c>
      <c r="S46" s="21">
        <f t="shared" ref="S46:S68" si="5">VLOOKUP(Q46,$A$46:$D$186,3)</f>
        <v>0.5479674179</v>
      </c>
      <c r="T46" s="21">
        <f t="shared" ref="T46:T68" si="6">VLOOKUP(Q46,$A$46:$D$186,4)</f>
        <v>0.05711425178</v>
      </c>
      <c r="U46" s="9">
        <f t="shared" ref="U46:U68" si="7">(Q46*M46)/$B$29</f>
        <v>3.416666667</v>
      </c>
      <c r="V46" s="23">
        <f t="shared" ref="V46:V68" si="8">(U46*60)/(2*PI())</f>
        <v>32.62676333</v>
      </c>
    </row>
    <row r="47" ht="15.75" customHeight="1">
      <c r="A47" s="8">
        <v>1.1</v>
      </c>
      <c r="B47" s="21">
        <v>0.0174812274041272</v>
      </c>
      <c r="C47" s="21">
        <v>0.114276595626106</v>
      </c>
      <c r="D47" s="22">
        <v>0.0158920839436253</v>
      </c>
      <c r="G47" s="2" t="s">
        <v>2</v>
      </c>
      <c r="H47" s="21">
        <f>VLOOKUP(H46, A46:D186, 2)</f>
        <v>0.2333425624</v>
      </c>
      <c r="M47" s="8">
        <v>4.5</v>
      </c>
      <c r="N47" s="43">
        <f t="shared" si="1"/>
        <v>812.9951807</v>
      </c>
      <c r="O47" s="43">
        <f t="shared" si="2"/>
        <v>211.5104906</v>
      </c>
      <c r="P47" s="43">
        <f t="shared" si="3"/>
        <v>422.7668438</v>
      </c>
      <c r="Q47" s="2">
        <v>4.1</v>
      </c>
      <c r="R47" s="21">
        <f t="shared" si="4"/>
        <v>0.2341689313</v>
      </c>
      <c r="S47" s="21">
        <f t="shared" si="5"/>
        <v>0.5479674179</v>
      </c>
      <c r="T47" s="21">
        <f t="shared" si="6"/>
        <v>0.05711425178</v>
      </c>
      <c r="U47" s="9">
        <f t="shared" si="7"/>
        <v>3.84375</v>
      </c>
      <c r="V47" s="23">
        <f t="shared" si="8"/>
        <v>36.70510875</v>
      </c>
    </row>
    <row r="48" ht="15.75" customHeight="1">
      <c r="A48" s="8">
        <v>1.2</v>
      </c>
      <c r="B48" s="21">
        <v>0.0218337919321186</v>
      </c>
      <c r="C48" s="21">
        <v>0.120988432872659</v>
      </c>
      <c r="D48" s="22">
        <v>0.0181949462251053</v>
      </c>
      <c r="G48" s="2" t="s">
        <v>29</v>
      </c>
      <c r="H48" s="21">
        <f>VLOOKUP(H46, A46:D186, 3)</f>
        <v>0.5588188913</v>
      </c>
      <c r="M48" s="8">
        <v>5.0</v>
      </c>
      <c r="N48" s="43">
        <f t="shared" si="1"/>
        <v>1115.219727</v>
      </c>
      <c r="O48" s="43">
        <f t="shared" si="2"/>
        <v>261.1240625</v>
      </c>
      <c r="P48" s="43">
        <f t="shared" si="3"/>
        <v>521.934375</v>
      </c>
      <c r="Q48" s="2">
        <v>4.1</v>
      </c>
      <c r="R48" s="21">
        <f t="shared" si="4"/>
        <v>0.2341689313</v>
      </c>
      <c r="S48" s="21">
        <f t="shared" si="5"/>
        <v>0.5479674179</v>
      </c>
      <c r="T48" s="21">
        <f t="shared" si="6"/>
        <v>0.05711425178</v>
      </c>
      <c r="U48" s="9">
        <f t="shared" si="7"/>
        <v>4.270833333</v>
      </c>
      <c r="V48" s="23">
        <f t="shared" si="8"/>
        <v>40.78345417</v>
      </c>
    </row>
    <row r="49" ht="15.75" customHeight="1">
      <c r="A49" s="8">
        <v>1.3</v>
      </c>
      <c r="B49" s="21">
        <v>0.0270104491739731</v>
      </c>
      <c r="C49" s="21">
        <v>0.128680757745329</v>
      </c>
      <c r="D49" s="22">
        <v>0.0207771266346968</v>
      </c>
      <c r="G49" s="2" t="s">
        <v>30</v>
      </c>
      <c r="H49" s="21">
        <f>VLOOKUP(H46, A46:D186, 4)</f>
        <v>0.05555771879</v>
      </c>
      <c r="M49" s="8">
        <v>5.5</v>
      </c>
      <c r="N49" s="43">
        <f t="shared" si="1"/>
        <v>1484.357456</v>
      </c>
      <c r="O49" s="43">
        <f t="shared" si="2"/>
        <v>315.9601156</v>
      </c>
      <c r="P49" s="43">
        <f t="shared" si="3"/>
        <v>631.5405938</v>
      </c>
      <c r="Q49" s="2">
        <v>4.1</v>
      </c>
      <c r="R49" s="21">
        <f t="shared" si="4"/>
        <v>0.2341689313</v>
      </c>
      <c r="S49" s="21">
        <f t="shared" si="5"/>
        <v>0.5479674179</v>
      </c>
      <c r="T49" s="21">
        <f t="shared" si="6"/>
        <v>0.05711425178</v>
      </c>
      <c r="U49" s="9">
        <f t="shared" si="7"/>
        <v>4.697916667</v>
      </c>
      <c r="V49" s="23">
        <f t="shared" si="8"/>
        <v>44.86179958</v>
      </c>
    </row>
    <row r="50" ht="15.75" customHeight="1">
      <c r="A50" s="8">
        <v>1.4</v>
      </c>
      <c r="B50" s="21">
        <v>0.0328933643103426</v>
      </c>
      <c r="C50" s="21">
        <v>0.137528037955867</v>
      </c>
      <c r="D50" s="22">
        <v>0.0234952261821154</v>
      </c>
      <c r="G50" s="2" t="s">
        <v>13</v>
      </c>
      <c r="H50" s="24">
        <f>0.5*F29*K45*H45^3*H47</f>
        <v>11832.95395</v>
      </c>
      <c r="I50" s="2" t="s">
        <v>14</v>
      </c>
      <c r="M50" s="8">
        <v>6.0</v>
      </c>
      <c r="N50" s="43">
        <f t="shared" si="1"/>
        <v>1927.099688</v>
      </c>
      <c r="O50" s="43">
        <f t="shared" si="2"/>
        <v>376.01865</v>
      </c>
      <c r="P50" s="43">
        <f t="shared" si="3"/>
        <v>751.5855</v>
      </c>
      <c r="Q50" s="2">
        <v>4.1</v>
      </c>
      <c r="R50" s="21">
        <f t="shared" si="4"/>
        <v>0.2341689313</v>
      </c>
      <c r="S50" s="21">
        <f t="shared" si="5"/>
        <v>0.5479674179</v>
      </c>
      <c r="T50" s="21">
        <f t="shared" si="6"/>
        <v>0.05711425178</v>
      </c>
      <c r="U50" s="9">
        <f t="shared" si="7"/>
        <v>5.125</v>
      </c>
      <c r="V50" s="23">
        <f t="shared" si="8"/>
        <v>48.940145</v>
      </c>
    </row>
    <row r="51" ht="15.75" customHeight="1">
      <c r="A51" s="8">
        <v>1.5</v>
      </c>
      <c r="B51" s="21">
        <v>0.0393103030874167</v>
      </c>
      <c r="C51" s="21">
        <v>0.147309694554708</v>
      </c>
      <c r="D51" s="22">
        <v>0.0262069985926659</v>
      </c>
      <c r="G51" s="2" t="s">
        <v>21</v>
      </c>
      <c r="H51" s="24">
        <f>0.5*F29*K45*H45^2*H48</f>
        <v>2576.188313</v>
      </c>
      <c r="I51" s="2" t="s">
        <v>22</v>
      </c>
      <c r="M51" s="8">
        <v>6.5</v>
      </c>
      <c r="N51" s="43">
        <f t="shared" si="1"/>
        <v>2450.137739</v>
      </c>
      <c r="O51" s="43">
        <f t="shared" si="2"/>
        <v>441.2996656</v>
      </c>
      <c r="P51" s="43">
        <f t="shared" si="3"/>
        <v>882.0690938</v>
      </c>
      <c r="Q51" s="2">
        <v>4.1</v>
      </c>
      <c r="R51" s="21">
        <f t="shared" si="4"/>
        <v>0.2341689313</v>
      </c>
      <c r="S51" s="21">
        <f t="shared" si="5"/>
        <v>0.5479674179</v>
      </c>
      <c r="T51" s="21">
        <f t="shared" si="6"/>
        <v>0.05711425178</v>
      </c>
      <c r="U51" s="9">
        <f t="shared" si="7"/>
        <v>5.552083333</v>
      </c>
      <c r="V51" s="23">
        <f t="shared" si="8"/>
        <v>53.01849042</v>
      </c>
    </row>
    <row r="52" ht="15.75" customHeight="1">
      <c r="A52" s="8">
        <v>1.6</v>
      </c>
      <c r="B52" s="21">
        <v>0.0463433168792235</v>
      </c>
      <c r="C52" s="21">
        <v>0.157908048923228</v>
      </c>
      <c r="D52" s="22">
        <v>0.0289643978989694</v>
      </c>
      <c r="G52" s="2" t="s">
        <v>17</v>
      </c>
      <c r="H52" s="24">
        <f>0.5*K45*F29*B29*H45^2*H49</f>
        <v>1229.397056</v>
      </c>
      <c r="I52" s="2" t="s">
        <v>18</v>
      </c>
      <c r="M52" s="8">
        <v>7.0</v>
      </c>
      <c r="N52" s="43">
        <f t="shared" si="1"/>
        <v>3060.16293</v>
      </c>
      <c r="O52" s="43">
        <f t="shared" si="2"/>
        <v>511.8031625</v>
      </c>
      <c r="P52" s="43">
        <f t="shared" si="3"/>
        <v>1022.991375</v>
      </c>
      <c r="Q52" s="2">
        <v>4.1</v>
      </c>
      <c r="R52" s="21">
        <f t="shared" si="4"/>
        <v>0.2341689313</v>
      </c>
      <c r="S52" s="21">
        <f t="shared" si="5"/>
        <v>0.5479674179</v>
      </c>
      <c r="T52" s="21">
        <f t="shared" si="6"/>
        <v>0.05711425178</v>
      </c>
      <c r="U52" s="9">
        <f t="shared" si="7"/>
        <v>5.979166667</v>
      </c>
      <c r="V52" s="23">
        <f t="shared" si="8"/>
        <v>57.09683583</v>
      </c>
    </row>
    <row r="53" ht="15.75" customHeight="1">
      <c r="A53" s="8">
        <v>1.7</v>
      </c>
      <c r="B53" s="21">
        <v>0.054180287788191</v>
      </c>
      <c r="C53" s="21">
        <v>0.169691335443754</v>
      </c>
      <c r="D53" s="22">
        <v>0.0318711700018142</v>
      </c>
      <c r="M53" s="8">
        <v>7.5</v>
      </c>
      <c r="N53" s="43">
        <f t="shared" si="1"/>
        <v>3763.866577</v>
      </c>
      <c r="O53" s="43">
        <f t="shared" si="2"/>
        <v>587.5291406</v>
      </c>
      <c r="P53" s="43">
        <f t="shared" si="3"/>
        <v>1174.352344</v>
      </c>
      <c r="Q53" s="2">
        <v>4.1</v>
      </c>
      <c r="R53" s="21">
        <f t="shared" si="4"/>
        <v>0.2341689313</v>
      </c>
      <c r="S53" s="21">
        <f t="shared" si="5"/>
        <v>0.5479674179</v>
      </c>
      <c r="T53" s="21">
        <f t="shared" si="6"/>
        <v>0.05711425178</v>
      </c>
      <c r="U53" s="9">
        <f t="shared" si="7"/>
        <v>6.40625</v>
      </c>
      <c r="V53" s="23">
        <f t="shared" si="8"/>
        <v>61.17518125</v>
      </c>
    </row>
    <row r="54" ht="15.75" customHeight="1">
      <c r="A54" s="8">
        <v>1.8</v>
      </c>
      <c r="B54" s="21">
        <v>0.0627911116377692</v>
      </c>
      <c r="C54" s="21">
        <v>0.182879725244715</v>
      </c>
      <c r="D54" s="22">
        <v>0.0348835294093725</v>
      </c>
      <c r="G54" s="25" t="s">
        <v>40</v>
      </c>
      <c r="M54" s="8">
        <v>8.0</v>
      </c>
      <c r="N54" s="43">
        <f t="shared" si="1"/>
        <v>4567.94</v>
      </c>
      <c r="O54" s="43">
        <f t="shared" si="2"/>
        <v>668.4776</v>
      </c>
      <c r="P54" s="43">
        <f t="shared" si="3"/>
        <v>1336.152</v>
      </c>
      <c r="Q54" s="2">
        <v>4.1</v>
      </c>
      <c r="R54" s="21">
        <f t="shared" si="4"/>
        <v>0.2341689313</v>
      </c>
      <c r="S54" s="21">
        <f t="shared" si="5"/>
        <v>0.5479674179</v>
      </c>
      <c r="T54" s="21">
        <f t="shared" si="6"/>
        <v>0.05711425178</v>
      </c>
      <c r="U54" s="9">
        <f t="shared" si="7"/>
        <v>6.833333333</v>
      </c>
      <c r="V54" s="23">
        <f t="shared" si="8"/>
        <v>65.25352667</v>
      </c>
    </row>
    <row r="55" ht="15.75" customHeight="1">
      <c r="A55" s="8">
        <v>1.9</v>
      </c>
      <c r="B55" s="21">
        <v>0.0720814870612153</v>
      </c>
      <c r="C55" s="21">
        <v>0.197660904932548</v>
      </c>
      <c r="D55" s="22">
        <v>0.0379371553814725</v>
      </c>
      <c r="G55" s="25" t="s">
        <v>41</v>
      </c>
      <c r="H55" s="25">
        <v>0.92</v>
      </c>
      <c r="I55" s="25" t="s">
        <v>5</v>
      </c>
      <c r="M55" s="8">
        <v>8.5</v>
      </c>
      <c r="N55" s="43">
        <f t="shared" si="1"/>
        <v>5479.074517</v>
      </c>
      <c r="O55" s="43">
        <f t="shared" si="2"/>
        <v>754.6485406</v>
      </c>
      <c r="P55" s="43">
        <f t="shared" si="3"/>
        <v>1508.390344</v>
      </c>
      <c r="Q55" s="2">
        <v>4.1</v>
      </c>
      <c r="R55" s="21">
        <f t="shared" si="4"/>
        <v>0.2341689313</v>
      </c>
      <c r="S55" s="21">
        <f t="shared" si="5"/>
        <v>0.5479674179</v>
      </c>
      <c r="T55" s="21">
        <f t="shared" si="6"/>
        <v>0.05711425178</v>
      </c>
      <c r="U55" s="9">
        <f t="shared" si="7"/>
        <v>7.260416667</v>
      </c>
      <c r="V55" s="23">
        <f t="shared" si="8"/>
        <v>69.33187208</v>
      </c>
    </row>
    <row r="56" ht="15.75" customHeight="1">
      <c r="A56" s="8">
        <v>2.0</v>
      </c>
      <c r="B56" s="21">
        <v>0.081939697046384</v>
      </c>
      <c r="C56" s="21">
        <v>0.213464475868176</v>
      </c>
      <c r="D56" s="22">
        <v>0.0409693358874497</v>
      </c>
      <c r="G56" s="25" t="s">
        <v>42</v>
      </c>
      <c r="H56" s="25">
        <f>H55*2</f>
        <v>1.84</v>
      </c>
      <c r="I56" s="25" t="s">
        <v>5</v>
      </c>
      <c r="M56" s="8">
        <v>9.0</v>
      </c>
      <c r="N56" s="43">
        <f t="shared" si="1"/>
        <v>6503.961445</v>
      </c>
      <c r="O56" s="43">
        <f t="shared" si="2"/>
        <v>846.0419625</v>
      </c>
      <c r="P56" s="43">
        <f t="shared" si="3"/>
        <v>1691.067375</v>
      </c>
      <c r="Q56" s="2">
        <v>4.1</v>
      </c>
      <c r="R56" s="21">
        <f t="shared" si="4"/>
        <v>0.2341689313</v>
      </c>
      <c r="S56" s="21">
        <f t="shared" si="5"/>
        <v>0.5479674179</v>
      </c>
      <c r="T56" s="21">
        <f t="shared" si="6"/>
        <v>0.05711425178</v>
      </c>
      <c r="U56" s="9">
        <f t="shared" si="7"/>
        <v>7.6875</v>
      </c>
      <c r="V56" s="23">
        <f t="shared" si="8"/>
        <v>73.4102175</v>
      </c>
    </row>
    <row r="57" ht="15.75" customHeight="1">
      <c r="A57" s="8">
        <v>2.1</v>
      </c>
      <c r="B57" s="21">
        <v>0.0921584267973998</v>
      </c>
      <c r="C57" s="21">
        <v>0.229907531258225</v>
      </c>
      <c r="D57" s="22">
        <v>0.0438852617720523</v>
      </c>
      <c r="M57" s="8">
        <v>9.5</v>
      </c>
      <c r="N57" s="43">
        <f t="shared" si="1"/>
        <v>7649.292104</v>
      </c>
      <c r="O57" s="43">
        <f t="shared" si="2"/>
        <v>942.6578656</v>
      </c>
      <c r="P57" s="43">
        <f t="shared" si="3"/>
        <v>1884.183094</v>
      </c>
      <c r="Q57" s="2">
        <v>4.1</v>
      </c>
      <c r="R57" s="21">
        <f t="shared" si="4"/>
        <v>0.2341689313</v>
      </c>
      <c r="S57" s="21">
        <f t="shared" si="5"/>
        <v>0.5479674179</v>
      </c>
      <c r="T57" s="21">
        <f t="shared" si="6"/>
        <v>0.05711425178</v>
      </c>
      <c r="U57" s="9">
        <f t="shared" si="7"/>
        <v>8.114583333</v>
      </c>
      <c r="V57" s="23">
        <f t="shared" si="8"/>
        <v>77.48856292</v>
      </c>
    </row>
    <row r="58" ht="15.75" customHeight="1">
      <c r="A58" s="8">
        <v>2.2</v>
      </c>
      <c r="B58" s="21">
        <v>0.102658588260758</v>
      </c>
      <c r="C58" s="21">
        <v>0.246928844994044</v>
      </c>
      <c r="D58" s="22">
        <v>0.0466630785498294</v>
      </c>
      <c r="M58" s="8">
        <v>10.0</v>
      </c>
      <c r="N58" s="43">
        <f t="shared" si="1"/>
        <v>8921.757813</v>
      </c>
      <c r="O58" s="43">
        <f t="shared" si="2"/>
        <v>1044.49625</v>
      </c>
      <c r="P58" s="43">
        <f t="shared" si="3"/>
        <v>2087.7375</v>
      </c>
      <c r="Q58" s="2">
        <v>4.1</v>
      </c>
      <c r="R58" s="21">
        <f t="shared" si="4"/>
        <v>0.2341689313</v>
      </c>
      <c r="S58" s="21">
        <f t="shared" si="5"/>
        <v>0.5479674179</v>
      </c>
      <c r="T58" s="21">
        <f t="shared" si="6"/>
        <v>0.05711425178</v>
      </c>
      <c r="U58" s="9">
        <f t="shared" si="7"/>
        <v>8.541666667</v>
      </c>
      <c r="V58" s="23">
        <f t="shared" si="8"/>
        <v>81.56690833</v>
      </c>
    </row>
    <row r="59" ht="15.75" customHeight="1">
      <c r="A59" s="8">
        <v>2.3</v>
      </c>
      <c r="B59" s="21">
        <v>0.113323747358533</v>
      </c>
      <c r="C59" s="21">
        <v>0.264324465333618</v>
      </c>
      <c r="D59" s="22">
        <v>0.0492704559933013</v>
      </c>
      <c r="G59" s="25" t="s">
        <v>43</v>
      </c>
      <c r="M59" s="8">
        <v>10.5</v>
      </c>
      <c r="N59" s="43">
        <f t="shared" si="1"/>
        <v>10328.04989</v>
      </c>
      <c r="O59" s="43">
        <f t="shared" si="2"/>
        <v>1151.557116</v>
      </c>
      <c r="P59" s="43">
        <f t="shared" si="3"/>
        <v>2301.730594</v>
      </c>
      <c r="Q59" s="2">
        <v>4.1</v>
      </c>
      <c r="R59" s="21">
        <f t="shared" si="4"/>
        <v>0.2341689313</v>
      </c>
      <c r="S59" s="21">
        <f t="shared" si="5"/>
        <v>0.5479674179</v>
      </c>
      <c r="T59" s="21">
        <f t="shared" si="6"/>
        <v>0.05711425178</v>
      </c>
      <c r="U59" s="9">
        <f t="shared" si="7"/>
        <v>8.96875</v>
      </c>
      <c r="V59" s="23">
        <f t="shared" si="8"/>
        <v>85.64525375</v>
      </c>
    </row>
    <row r="60" ht="15.75" customHeight="1">
      <c r="A60" s="8">
        <v>2.4</v>
      </c>
      <c r="B60" s="21">
        <v>0.124068469974359</v>
      </c>
      <c r="C60" s="21">
        <v>0.282040993197012</v>
      </c>
      <c r="D60" s="22">
        <v>0.0516952979413234</v>
      </c>
      <c r="G60" s="25" t="s">
        <v>41</v>
      </c>
      <c r="H60" s="25">
        <v>0.8</v>
      </c>
      <c r="I60" s="25" t="s">
        <v>5</v>
      </c>
      <c r="M60" s="26">
        <v>11.0</v>
      </c>
      <c r="N60" s="44">
        <f t="shared" si="1"/>
        <v>11874.85965</v>
      </c>
      <c r="O60" s="44">
        <f t="shared" si="2"/>
        <v>1263.840463</v>
      </c>
      <c r="P60" s="44">
        <f t="shared" si="3"/>
        <v>2526.162375</v>
      </c>
      <c r="Q60" s="28">
        <v>4.1</v>
      </c>
      <c r="R60" s="29">
        <f t="shared" si="4"/>
        <v>0.2341689313</v>
      </c>
      <c r="S60" s="29">
        <f t="shared" si="5"/>
        <v>0.5479674179</v>
      </c>
      <c r="T60" s="29">
        <f t="shared" si="6"/>
        <v>0.05711425178</v>
      </c>
      <c r="U60" s="27">
        <f t="shared" si="7"/>
        <v>9.395833333</v>
      </c>
      <c r="V60" s="30">
        <f t="shared" si="8"/>
        <v>89.72359917</v>
      </c>
    </row>
    <row r="61" ht="15.75" customHeight="1">
      <c r="A61" s="8">
        <v>2.5</v>
      </c>
      <c r="B61" s="21">
        <v>0.134782394415128</v>
      </c>
      <c r="C61" s="21">
        <v>0.299942926744148</v>
      </c>
      <c r="D61" s="22">
        <v>0.0539135934343717</v>
      </c>
      <c r="G61" s="25" t="s">
        <v>42</v>
      </c>
      <c r="H61" s="25">
        <f>H60*2</f>
        <v>1.6</v>
      </c>
      <c r="I61" s="25" t="s">
        <v>5</v>
      </c>
      <c r="M61" s="8">
        <v>11.5</v>
      </c>
      <c r="N61" s="43">
        <f t="shared" si="1"/>
        <v>11990.72515</v>
      </c>
      <c r="O61" s="43">
        <f t="shared" si="2"/>
        <v>1516.604702</v>
      </c>
      <c r="P61" s="43">
        <f t="shared" si="3"/>
        <v>2205.596411</v>
      </c>
      <c r="Q61" s="2">
        <v>3.3</v>
      </c>
      <c r="R61" s="21">
        <f t="shared" si="4"/>
        <v>0.2069334847</v>
      </c>
      <c r="S61" s="21">
        <f t="shared" si="5"/>
        <v>0.4377329205</v>
      </c>
      <c r="T61" s="21">
        <f t="shared" si="6"/>
        <v>0.06270675453</v>
      </c>
      <c r="U61" s="9">
        <f t="shared" si="7"/>
        <v>7.90625</v>
      </c>
      <c r="V61" s="23">
        <f t="shared" si="8"/>
        <v>75.49912613</v>
      </c>
    </row>
    <row r="62" ht="15.75" customHeight="1">
      <c r="A62" s="8">
        <v>2.6</v>
      </c>
      <c r="B62" s="21">
        <v>0.145333254123736</v>
      </c>
      <c r="C62" s="21">
        <v>0.317882523618846</v>
      </c>
      <c r="D62" s="22">
        <v>0.0558976856039522</v>
      </c>
      <c r="M62" s="8">
        <v>12.0</v>
      </c>
      <c r="N62" s="43">
        <f t="shared" si="1"/>
        <v>11518.78088</v>
      </c>
      <c r="O62" s="43">
        <f t="shared" si="2"/>
        <v>1588.791335</v>
      </c>
      <c r="P62" s="43">
        <f t="shared" si="3"/>
        <v>2035.633267</v>
      </c>
      <c r="Q62" s="2">
        <v>2.9</v>
      </c>
      <c r="R62" s="21">
        <f t="shared" si="4"/>
        <v>0.1749611492</v>
      </c>
      <c r="S62" s="21">
        <f t="shared" si="5"/>
        <v>0.3710358652</v>
      </c>
      <c r="T62" s="21">
        <f t="shared" si="6"/>
        <v>0.06033120186</v>
      </c>
      <c r="U62" s="9">
        <f t="shared" si="7"/>
        <v>7.25</v>
      </c>
      <c r="V62" s="23">
        <f t="shared" si="8"/>
        <v>69.23240024</v>
      </c>
    </row>
    <row r="63" ht="15.75" customHeight="1">
      <c r="A63" s="8">
        <v>2.7</v>
      </c>
      <c r="B63" s="21">
        <v>0.155623140166629</v>
      </c>
      <c r="C63" s="21">
        <v>0.335756395934772</v>
      </c>
      <c r="D63" s="22">
        <v>0.057638332437773</v>
      </c>
      <c r="M63" s="8">
        <v>12.5</v>
      </c>
      <c r="N63" s="43">
        <f t="shared" si="1"/>
        <v>11580.44823</v>
      </c>
      <c r="O63" s="43">
        <f t="shared" si="2"/>
        <v>1647.000864</v>
      </c>
      <c r="P63" s="43">
        <f t="shared" si="3"/>
        <v>1998.782215</v>
      </c>
      <c r="Q63" s="2">
        <v>2.7</v>
      </c>
      <c r="R63" s="21">
        <f t="shared" si="4"/>
        <v>0.1556231402</v>
      </c>
      <c r="S63" s="21">
        <f t="shared" si="5"/>
        <v>0.3357563959</v>
      </c>
      <c r="T63" s="21">
        <f t="shared" si="6"/>
        <v>0.05763833244</v>
      </c>
      <c r="U63" s="9">
        <f t="shared" si="7"/>
        <v>7.03125</v>
      </c>
      <c r="V63" s="23">
        <f t="shared" si="8"/>
        <v>67.14349162</v>
      </c>
    </row>
    <row r="64" ht="15.75" customHeight="1">
      <c r="A64" s="8">
        <v>2.8</v>
      </c>
      <c r="B64" s="21">
        <v>0.165519665078193</v>
      </c>
      <c r="C64" s="21">
        <v>0.353552821448517</v>
      </c>
      <c r="D64" s="22">
        <v>0.059113981313183</v>
      </c>
      <c r="M64" s="8">
        <v>13.0</v>
      </c>
      <c r="N64" s="43">
        <f t="shared" si="1"/>
        <v>11281.95545</v>
      </c>
      <c r="O64" s="43">
        <f t="shared" si="2"/>
        <v>1666.277681</v>
      </c>
      <c r="P64" s="43">
        <f t="shared" si="3"/>
        <v>1931.285525</v>
      </c>
      <c r="Q64" s="2">
        <v>2.5</v>
      </c>
      <c r="R64" s="21">
        <f t="shared" si="4"/>
        <v>0.1347823944</v>
      </c>
      <c r="S64" s="21">
        <f t="shared" si="5"/>
        <v>0.2999429267</v>
      </c>
      <c r="T64" s="21">
        <f t="shared" si="6"/>
        <v>0.05391359343</v>
      </c>
      <c r="U64" s="9">
        <f t="shared" si="7"/>
        <v>6.770833333</v>
      </c>
      <c r="V64" s="23">
        <f t="shared" si="8"/>
        <v>64.65669563</v>
      </c>
    </row>
    <row r="65" ht="15.75" customHeight="1">
      <c r="A65" s="8">
        <v>2.9</v>
      </c>
      <c r="B65" s="21">
        <v>0.174961149179476</v>
      </c>
      <c r="C65" s="21">
        <v>0.371035865176223</v>
      </c>
      <c r="D65" s="22">
        <v>0.0603312018648609</v>
      </c>
      <c r="M65" s="8">
        <v>13.5</v>
      </c>
      <c r="N65" s="43">
        <f t="shared" si="1"/>
        <v>11630.11176</v>
      </c>
      <c r="O65" s="43">
        <f t="shared" si="2"/>
        <v>1722.982923</v>
      </c>
      <c r="P65" s="43">
        <f t="shared" si="3"/>
        <v>1958.397871</v>
      </c>
      <c r="Q65" s="2">
        <v>2.4</v>
      </c>
      <c r="R65" s="21">
        <f t="shared" si="4"/>
        <v>0.12406847</v>
      </c>
      <c r="S65" s="21">
        <f t="shared" si="5"/>
        <v>0.2820409932</v>
      </c>
      <c r="T65" s="21">
        <f t="shared" si="6"/>
        <v>0.05169529794</v>
      </c>
      <c r="U65" s="9">
        <f t="shared" si="7"/>
        <v>6.75</v>
      </c>
      <c r="V65" s="23">
        <f t="shared" si="8"/>
        <v>64.45775195</v>
      </c>
    </row>
    <row r="66" ht="15.75" customHeight="1">
      <c r="A66" s="8">
        <v>3.0</v>
      </c>
      <c r="B66" s="21">
        <v>0.18387570092415</v>
      </c>
      <c r="C66" s="21">
        <v>0.388248825435565</v>
      </c>
      <c r="D66" s="22">
        <v>0.0612917981893764</v>
      </c>
      <c r="M66" s="8">
        <v>14.0</v>
      </c>
      <c r="N66" s="43">
        <f t="shared" si="1"/>
        <v>11847.48562</v>
      </c>
      <c r="O66" s="43">
        <f t="shared" si="2"/>
        <v>1766.058342</v>
      </c>
      <c r="P66" s="43">
        <f t="shared" si="3"/>
        <v>1973.852017</v>
      </c>
      <c r="Q66" s="2">
        <v>2.3</v>
      </c>
      <c r="R66" s="21">
        <f t="shared" si="4"/>
        <v>0.1133237474</v>
      </c>
      <c r="S66" s="21">
        <f t="shared" si="5"/>
        <v>0.2643244653</v>
      </c>
      <c r="T66" s="21">
        <f t="shared" si="6"/>
        <v>0.04927045599</v>
      </c>
      <c r="U66" s="9">
        <f t="shared" si="7"/>
        <v>6.708333333</v>
      </c>
      <c r="V66" s="23">
        <f t="shared" si="8"/>
        <v>64.05986459</v>
      </c>
    </row>
    <row r="67" ht="15.75" customHeight="1">
      <c r="A67" s="8">
        <v>3.1</v>
      </c>
      <c r="B67" s="21">
        <v>0.192233892161286</v>
      </c>
      <c r="C67" s="21">
        <v>0.405148904535455</v>
      </c>
      <c r="D67" s="22">
        <v>0.0620108458622995</v>
      </c>
      <c r="M67" s="8">
        <v>14.5</v>
      </c>
      <c r="N67" s="43">
        <f t="shared" si="1"/>
        <v>11923.95835</v>
      </c>
      <c r="O67" s="43">
        <f t="shared" si="2"/>
        <v>1794.203855</v>
      </c>
      <c r="P67" s="43">
        <f t="shared" si="3"/>
        <v>1978.012289</v>
      </c>
      <c r="Q67" s="2">
        <v>2.2</v>
      </c>
      <c r="R67" s="21">
        <f t="shared" si="4"/>
        <v>0.1026585883</v>
      </c>
      <c r="S67" s="21">
        <f t="shared" si="5"/>
        <v>0.246928845</v>
      </c>
      <c r="T67" s="21">
        <f t="shared" si="6"/>
        <v>0.04666307855</v>
      </c>
      <c r="U67" s="9">
        <f t="shared" si="7"/>
        <v>6.645833333</v>
      </c>
      <c r="V67" s="23">
        <f t="shared" si="8"/>
        <v>63.46303356</v>
      </c>
    </row>
    <row r="68" ht="15.75" customHeight="1">
      <c r="A68" s="8">
        <v>3.2</v>
      </c>
      <c r="B68" s="21">
        <v>0.199931630467395</v>
      </c>
      <c r="C68" s="21">
        <v>0.421616240968496</v>
      </c>
      <c r="D68" s="22">
        <v>0.0624788139435709</v>
      </c>
      <c r="M68" s="13">
        <v>15.0</v>
      </c>
      <c r="N68" s="45">
        <f t="shared" si="1"/>
        <v>11850.31748</v>
      </c>
      <c r="O68" s="45">
        <f t="shared" si="2"/>
        <v>1805.774869</v>
      </c>
      <c r="P68" s="45">
        <f t="shared" si="3"/>
        <v>1970.864978</v>
      </c>
      <c r="Q68" s="11">
        <v>2.1</v>
      </c>
      <c r="R68" s="32">
        <f t="shared" si="4"/>
        <v>0.0921584268</v>
      </c>
      <c r="S68" s="32">
        <f t="shared" si="5"/>
        <v>0.2299075313</v>
      </c>
      <c r="T68" s="32">
        <f t="shared" si="6"/>
        <v>0.04388526177</v>
      </c>
      <c r="U68" s="31">
        <f t="shared" si="7"/>
        <v>6.5625</v>
      </c>
      <c r="V68" s="33">
        <f t="shared" si="8"/>
        <v>62.66725884</v>
      </c>
    </row>
    <row r="69" ht="15.75" customHeight="1">
      <c r="A69" s="8">
        <v>3.3</v>
      </c>
      <c r="B69" s="21">
        <v>0.20693348474743</v>
      </c>
      <c r="C69" s="21">
        <v>0.437732920502287</v>
      </c>
      <c r="D69" s="22">
        <v>0.0627067545330142</v>
      </c>
    </row>
    <row r="70" ht="15.75" customHeight="1">
      <c r="A70" s="8">
        <v>3.4</v>
      </c>
      <c r="B70" s="21">
        <v>0.213301990843302</v>
      </c>
      <c r="C70" s="21">
        <v>0.453516127830638</v>
      </c>
      <c r="D70" s="22">
        <v>0.0627359862076157</v>
      </c>
    </row>
    <row r="71" ht="15.75" customHeight="1">
      <c r="A71" s="8">
        <v>3.5</v>
      </c>
      <c r="B71" s="21">
        <v>0.218945085094345</v>
      </c>
      <c r="C71" s="21">
        <v>0.468891919230353</v>
      </c>
      <c r="D71" s="22">
        <v>0.0625555384263324</v>
      </c>
    </row>
    <row r="72" ht="15.75" customHeight="1">
      <c r="A72" s="8">
        <v>3.6</v>
      </c>
      <c r="B72" s="21">
        <v>0.223811228614384</v>
      </c>
      <c r="C72" s="21">
        <v>0.483993758089392</v>
      </c>
      <c r="D72" s="22">
        <v>0.0621691477795163</v>
      </c>
    </row>
    <row r="73" ht="15.75" customHeight="1">
      <c r="A73" s="8">
        <v>3.7</v>
      </c>
      <c r="B73" s="21">
        <v>0.227749967918994</v>
      </c>
      <c r="C73" s="21">
        <v>0.498125087215383</v>
      </c>
      <c r="D73" s="22">
        <v>0.0615548218534278</v>
      </c>
    </row>
    <row r="74" ht="15.75" customHeight="1">
      <c r="A74" s="8">
        <v>3.8</v>
      </c>
      <c r="B74" s="21">
        <v>0.230792917315673</v>
      </c>
      <c r="C74" s="21">
        <v>0.511612111231993</v>
      </c>
      <c r="D74" s="22">
        <v>0.0607356473655145</v>
      </c>
    </row>
    <row r="75" ht="15.75" customHeight="1">
      <c r="A75" s="8">
        <v>3.9</v>
      </c>
      <c r="B75" s="21">
        <v>0.232879754895356</v>
      </c>
      <c r="C75" s="21">
        <v>0.524407499359356</v>
      </c>
      <c r="D75" s="22">
        <v>0.0597129390596616</v>
      </c>
    </row>
    <row r="76" ht="15.75" customHeight="1">
      <c r="A76" s="8">
        <v>4.0</v>
      </c>
      <c r="B76" s="21">
        <v>0.234013110418128</v>
      </c>
      <c r="C76" s="21">
        <v>0.536539681436248</v>
      </c>
      <c r="D76" s="22">
        <v>0.0585038903165746</v>
      </c>
    </row>
    <row r="77" ht="15.75" customHeight="1">
      <c r="A77" s="8">
        <v>4.1</v>
      </c>
      <c r="B77" s="21">
        <v>0.234168931260047</v>
      </c>
      <c r="C77" s="21">
        <v>0.547967417857458</v>
      </c>
      <c r="D77" s="22">
        <v>0.0571142517791686</v>
      </c>
    </row>
    <row r="78" ht="15.75" customHeight="1">
      <c r="A78" s="8">
        <v>4.2</v>
      </c>
      <c r="B78" s="21">
        <v>0.233342562443488</v>
      </c>
      <c r="C78" s="21">
        <v>0.558818891250087</v>
      </c>
      <c r="D78" s="22">
        <v>0.0555577187870191</v>
      </c>
    </row>
    <row r="79" ht="15.75" customHeight="1">
      <c r="A79" s="8">
        <v>4.3</v>
      </c>
      <c r="B79" s="21">
        <v>0.231533573436123</v>
      </c>
      <c r="C79" s="21">
        <v>0.569069965661355</v>
      </c>
      <c r="D79" s="22">
        <v>0.0538456179349451</v>
      </c>
    </row>
    <row r="80" ht="15.75" customHeight="1">
      <c r="A80" s="8">
        <v>4.4</v>
      </c>
      <c r="B80" s="21">
        <v>0.228759803961782</v>
      </c>
      <c r="C80" s="21">
        <v>0.578758371081895</v>
      </c>
      <c r="D80" s="22">
        <v>0.0519907309407874</v>
      </c>
    </row>
    <row r="81" ht="15.75" customHeight="1">
      <c r="A81" s="8">
        <v>4.5</v>
      </c>
      <c r="B81" s="21">
        <v>0.225077233843524</v>
      </c>
      <c r="C81" s="21">
        <v>0.588016982696105</v>
      </c>
      <c r="D81" s="22">
        <v>0.0500168782787041</v>
      </c>
    </row>
    <row r="82" ht="15.75" customHeight="1">
      <c r="A82" s="8">
        <v>4.6</v>
      </c>
      <c r="B82" s="21">
        <v>0.22042332152079</v>
      </c>
      <c r="C82" s="21">
        <v>0.596629263166445</v>
      </c>
      <c r="D82" s="22">
        <v>0.0479179424955039</v>
      </c>
    </row>
    <row r="83" ht="15.75" customHeight="1">
      <c r="A83" s="8">
        <v>4.7</v>
      </c>
      <c r="B83" s="21">
        <v>0.214927130292124</v>
      </c>
      <c r="C83" s="21">
        <v>0.604967362350281</v>
      </c>
      <c r="D83" s="22">
        <v>0.0457292527037196</v>
      </c>
    </row>
    <row r="84" ht="15.75" customHeight="1">
      <c r="A84" s="8">
        <v>4.8</v>
      </c>
      <c r="B84" s="21">
        <v>0.208599070543606</v>
      </c>
      <c r="C84" s="21">
        <v>0.612869563481945</v>
      </c>
      <c r="D84" s="22">
        <v>0.0434581140647974</v>
      </c>
    </row>
    <row r="85" ht="15.75" customHeight="1">
      <c r="A85" s="8">
        <v>4.9</v>
      </c>
      <c r="B85" s="21">
        <v>0.201461335522365</v>
      </c>
      <c r="C85" s="21">
        <v>0.6203450229302</v>
      </c>
      <c r="D85" s="22">
        <v>0.0411147535596771</v>
      </c>
    </row>
    <row r="86" ht="15.75" customHeight="1">
      <c r="A86" s="8">
        <v>5.0</v>
      </c>
      <c r="B86" s="21">
        <v>0.193516301734179</v>
      </c>
      <c r="C86" s="21">
        <v>0.627428418562759</v>
      </c>
      <c r="D86" s="22">
        <v>0.0387029732708202</v>
      </c>
    </row>
    <row r="87" ht="15.75" customHeight="1">
      <c r="A87" s="8">
        <v>5.1</v>
      </c>
      <c r="B87" s="21">
        <v>0.184773732541208</v>
      </c>
      <c r="C87" s="21">
        <v>0.634099777600931</v>
      </c>
      <c r="D87" s="22">
        <v>0.0362304119473405</v>
      </c>
    </row>
    <row r="88" ht="15.75" customHeight="1">
      <c r="A88" s="8">
        <v>5.2</v>
      </c>
      <c r="B88" s="21">
        <v>0.17529989315933</v>
      </c>
      <c r="C88" s="21">
        <v>0.640501040099548</v>
      </c>
      <c r="D88" s="22">
        <v>0.0337115073996509</v>
      </c>
    </row>
    <row r="89" ht="15.75" customHeight="1">
      <c r="A89" s="8">
        <v>5.3</v>
      </c>
      <c r="B89" s="21">
        <v>0.165153671751432</v>
      </c>
      <c r="C89" s="21">
        <v>0.646604004965665</v>
      </c>
      <c r="D89" s="22">
        <v>0.0311611388631513</v>
      </c>
    </row>
    <row r="90" ht="15.75" customHeight="1">
      <c r="A90" s="8">
        <v>5.4</v>
      </c>
      <c r="B90" s="21">
        <v>0.15436159384726</v>
      </c>
      <c r="C90" s="21">
        <v>0.652517221898643</v>
      </c>
      <c r="D90" s="22">
        <v>0.028585799315436</v>
      </c>
    </row>
    <row r="91" ht="15.75" customHeight="1">
      <c r="A91" s="8">
        <v>5.5</v>
      </c>
      <c r="B91" s="21">
        <v>0.14297677422836</v>
      </c>
      <c r="C91" s="21">
        <v>0.658145552240307</v>
      </c>
      <c r="D91" s="22">
        <v>0.025994083881038</v>
      </c>
    </row>
    <row r="92" ht="15.75" customHeight="1">
      <c r="A92" s="8">
        <v>5.6</v>
      </c>
      <c r="B92" s="21">
        <v>0.131006114483181</v>
      </c>
      <c r="C92" s="21">
        <v>0.663649209569449</v>
      </c>
      <c r="D92" s="22">
        <v>0.023394952316235</v>
      </c>
    </row>
    <row r="93" ht="15.75" customHeight="1">
      <c r="A93" s="8">
        <v>5.7</v>
      </c>
      <c r="B93" s="21">
        <v>0.118485294059384</v>
      </c>
      <c r="C93" s="21">
        <v>0.668926486954798</v>
      </c>
      <c r="D93" s="22">
        <v>0.0207872426466779</v>
      </c>
    </row>
    <row r="94" ht="15.75" customHeight="1">
      <c r="A94" s="8">
        <v>5.8</v>
      </c>
      <c r="B94" s="21">
        <v>0.105433383006583</v>
      </c>
      <c r="C94" s="21">
        <v>0.674090574368252</v>
      </c>
      <c r="D94" s="22">
        <v>0.0181780975970423</v>
      </c>
    </row>
    <row r="95" ht="15.75" customHeight="1">
      <c r="A95" s="8">
        <v>5.9</v>
      </c>
      <c r="B95" s="21">
        <v>0.0918661705056392</v>
      </c>
      <c r="C95" s="21">
        <v>0.679090618344176</v>
      </c>
      <c r="D95" s="22">
        <v>0.0155701828731883</v>
      </c>
    </row>
    <row r="96" ht="15.75" customHeight="1">
      <c r="A96" s="8">
        <v>6.0</v>
      </c>
      <c r="B96" s="21">
        <v>0.0777837938040514</v>
      </c>
      <c r="C96" s="21">
        <v>0.683999046347697</v>
      </c>
      <c r="D96" s="22">
        <v>0.0129639656340086</v>
      </c>
    </row>
    <row r="97" ht="15.75" customHeight="1">
      <c r="A97" s="8">
        <v>6.1</v>
      </c>
      <c r="B97" s="21">
        <v>0.0632100375663622</v>
      </c>
      <c r="C97" s="21">
        <v>0.68872488943033</v>
      </c>
      <c r="D97" s="22">
        <v>0.0103621454887628</v>
      </c>
    </row>
    <row r="98" ht="15.75" customHeight="1">
      <c r="A98" s="8">
        <v>6.2</v>
      </c>
      <c r="B98" s="21">
        <v>0.0481530440820577</v>
      </c>
      <c r="C98" s="21">
        <v>0.693493632159336</v>
      </c>
      <c r="D98" s="22">
        <v>0.00776662971472874</v>
      </c>
    </row>
    <row r="99" ht="15.75" customHeight="1">
      <c r="A99" s="8">
        <v>6.3</v>
      </c>
      <c r="B99" s="21">
        <v>0.0326415887595054</v>
      </c>
      <c r="C99" s="21">
        <v>0.698414935285245</v>
      </c>
      <c r="D99" s="22">
        <v>0.00518119919453117</v>
      </c>
    </row>
    <row r="100" ht="15.75" customHeight="1">
      <c r="A100" s="8">
        <v>6.4</v>
      </c>
      <c r="B100" s="21">
        <v>0.0166761637290175</v>
      </c>
      <c r="C100" s="21">
        <v>0.703336238411154</v>
      </c>
      <c r="D100" s="22">
        <v>0.00260563520358672</v>
      </c>
    </row>
    <row r="101" ht="15.75" customHeight="1">
      <c r="A101" s="8">
        <v>6.5</v>
      </c>
      <c r="B101" s="21">
        <v>2.63162275173648E-4</v>
      </c>
      <c r="C101" s="21">
        <v>0.708213426269998</v>
      </c>
      <c r="D101" s="22">
        <v>4.0484739345976E-5</v>
      </c>
    </row>
    <row r="102" ht="15.75" customHeight="1">
      <c r="A102" s="8">
        <v>6.6</v>
      </c>
      <c r="B102" s="21">
        <v>-0.0165465078970795</v>
      </c>
      <c r="C102" s="21">
        <v>0.713178844662972</v>
      </c>
      <c r="D102" s="22">
        <v>-0.00250702459220132</v>
      </c>
    </row>
    <row r="103" ht="15.75" customHeight="1">
      <c r="A103" s="8">
        <v>6.7</v>
      </c>
      <c r="B103" s="21">
        <v>-0.0337762006687446</v>
      </c>
      <c r="C103" s="21">
        <v>0.71810014778888</v>
      </c>
      <c r="D103" s="22">
        <v>-0.00504124831615328</v>
      </c>
    </row>
    <row r="104" ht="15.75" customHeight="1">
      <c r="A104" s="8">
        <v>6.8</v>
      </c>
      <c r="B104" s="21">
        <v>-0.0514380344240317</v>
      </c>
      <c r="C104" s="21">
        <v>0.723021450914789</v>
      </c>
      <c r="D104" s="22">
        <v>-0.00756420011281635</v>
      </c>
    </row>
    <row r="105" ht="15.75" customHeight="1">
      <c r="A105" s="8">
        <v>6.9</v>
      </c>
      <c r="B105" s="21">
        <v>-0.0695394485491718</v>
      </c>
      <c r="C105" s="21">
        <v>0.728242953531379</v>
      </c>
      <c r="D105" s="22">
        <v>-0.0100782478146869</v>
      </c>
    </row>
    <row r="106" ht="15.75" customHeight="1">
      <c r="A106" s="8">
        <v>7.0</v>
      </c>
      <c r="B106" s="21">
        <v>-0.088112856654946</v>
      </c>
      <c r="C106" s="21">
        <v>0.733274165760433</v>
      </c>
      <c r="D106" s="22">
        <v>-0.0125874288945775</v>
      </c>
    </row>
    <row r="107" ht="15.75" customHeight="1">
      <c r="A107" s="8">
        <v>7.1</v>
      </c>
      <c r="B107" s="21">
        <v>-0.10716916762995</v>
      </c>
      <c r="C107" s="21">
        <v>0.738348029283245</v>
      </c>
      <c r="D107" s="22">
        <v>-0.0150945252557827</v>
      </c>
    </row>
    <row r="108" ht="15.75" customHeight="1">
      <c r="A108" s="8">
        <v>7.2</v>
      </c>
      <c r="B108" s="21">
        <v>-0.126713752099474</v>
      </c>
      <c r="C108" s="21">
        <v>0.743526880606077</v>
      </c>
      <c r="D108" s="22">
        <v>-0.0175992343547119</v>
      </c>
    </row>
    <row r="109" ht="15.75" customHeight="1">
      <c r="A109" s="8">
        <v>7.3</v>
      </c>
      <c r="B109" s="21">
        <v>-0.146767818069686</v>
      </c>
      <c r="C109" s="21">
        <v>0.748448183731986</v>
      </c>
      <c r="D109" s="22">
        <v>-0.020105300406578</v>
      </c>
    </row>
    <row r="110" ht="15.75" customHeight="1">
      <c r="A110" s="8">
        <v>7.4</v>
      </c>
      <c r="B110" s="21">
        <v>-0.167355350357728</v>
      </c>
      <c r="C110" s="21">
        <v>0.753717507298073</v>
      </c>
      <c r="D110" s="22">
        <v>-0.0226153036098714</v>
      </c>
    </row>
    <row r="111" ht="15.75" customHeight="1">
      <c r="A111" s="8">
        <v>7.5</v>
      </c>
      <c r="B111" s="21">
        <v>-0.188428559875128</v>
      </c>
      <c r="C111" s="21">
        <v>0.758700898577629</v>
      </c>
      <c r="D111" s="22">
        <v>-0.0251239849890516</v>
      </c>
    </row>
    <row r="112" ht="15.75" customHeight="1">
      <c r="A112" s="8">
        <v>7.6</v>
      </c>
      <c r="B112" s="21">
        <v>-0.210017841223946</v>
      </c>
      <c r="C112" s="21">
        <v>0.763819053828575</v>
      </c>
      <c r="D112" s="22">
        <v>-0.0276335613362887</v>
      </c>
    </row>
    <row r="113" ht="15.75" customHeight="1">
      <c r="A113" s="8">
        <v>7.7</v>
      </c>
      <c r="B113" s="21">
        <v>-0.232136169194394</v>
      </c>
      <c r="C113" s="21">
        <v>0.768953613423273</v>
      </c>
      <c r="D113" s="22">
        <v>-0.0301477131447432</v>
      </c>
    </row>
    <row r="114" ht="15.75" customHeight="1">
      <c r="A114" s="8">
        <v>7.8</v>
      </c>
      <c r="B114" s="21">
        <v>-0.254787345868933</v>
      </c>
      <c r="C114" s="21">
        <v>0.774024196077334</v>
      </c>
      <c r="D114" s="22">
        <v>-0.0326649102682076</v>
      </c>
    </row>
    <row r="115" ht="15.75" customHeight="1">
      <c r="A115" s="8">
        <v>7.9</v>
      </c>
      <c r="B115" s="21">
        <v>-0.277962787560323</v>
      </c>
      <c r="C115" s="21">
        <v>0.779206328268917</v>
      </c>
      <c r="D115" s="22">
        <v>-0.035185300982996</v>
      </c>
    </row>
    <row r="116" ht="15.75" customHeight="1">
      <c r="A116" s="8">
        <v>8.0</v>
      </c>
      <c r="B116" s="21">
        <v>-0.301708280197131</v>
      </c>
      <c r="C116" s="21">
        <v>0.784357292207368</v>
      </c>
      <c r="D116" s="22">
        <v>-0.0377135521124994</v>
      </c>
    </row>
    <row r="117" ht="15.75" customHeight="1">
      <c r="A117" s="8">
        <v>8.1</v>
      </c>
      <c r="B117" s="21">
        <v>-0.326000037480914</v>
      </c>
      <c r="C117" s="21">
        <v>0.78945904311456</v>
      </c>
      <c r="D117" s="22">
        <v>-0.0402467587208449</v>
      </c>
    </row>
    <row r="118" ht="15.75" customHeight="1">
      <c r="A118" s="8">
        <v>8.2</v>
      </c>
      <c r="B118" s="21">
        <v>-0.350849542452301</v>
      </c>
      <c r="C118" s="21">
        <v>0.794790454834295</v>
      </c>
      <c r="D118" s="22">
        <v>-0.0427862194852462</v>
      </c>
    </row>
    <row r="119" ht="15.75" customHeight="1">
      <c r="A119" s="8">
        <v>8.3</v>
      </c>
      <c r="B119" s="21">
        <v>-0.376288578527312</v>
      </c>
      <c r="C119" s="21">
        <v>0.799865958791482</v>
      </c>
      <c r="D119" s="22">
        <v>-0.0453362405459385</v>
      </c>
    </row>
    <row r="120" ht="15.75" customHeight="1">
      <c r="A120" s="8">
        <v>8.4</v>
      </c>
      <c r="B120" s="21">
        <v>-0.402337035972748</v>
      </c>
      <c r="C120" s="21">
        <v>0.805043169679939</v>
      </c>
      <c r="D120" s="22">
        <v>-0.0478970953086511</v>
      </c>
    </row>
    <row r="121" ht="15.75" customHeight="1">
      <c r="A121" s="8">
        <v>8.5</v>
      </c>
      <c r="B121" s="21">
        <v>-0.428992454137046</v>
      </c>
      <c r="C121" s="21">
        <v>0.810187571880889</v>
      </c>
      <c r="D121" s="22">
        <v>-0.0504695356391393</v>
      </c>
    </row>
    <row r="122" ht="15.75" customHeight="1">
      <c r="A122" s="8">
        <v>8.6</v>
      </c>
      <c r="B122" s="21">
        <v>-0.456268366603802</v>
      </c>
      <c r="C122" s="21">
        <v>0.815295884525582</v>
      </c>
      <c r="D122" s="22">
        <v>-0.0530548260389006</v>
      </c>
    </row>
    <row r="123" ht="15.75" customHeight="1">
      <c r="A123" s="8">
        <v>8.7</v>
      </c>
      <c r="B123" s="21">
        <v>-0.484197121301067</v>
      </c>
      <c r="C123" s="21">
        <v>0.820217187651491</v>
      </c>
      <c r="D123" s="22">
        <v>-0.0556550175955372</v>
      </c>
    </row>
    <row r="124" ht="15.75" customHeight="1">
      <c r="A124" s="8">
        <v>8.8</v>
      </c>
      <c r="B124" s="21">
        <v>-0.512766771977909</v>
      </c>
      <c r="C124" s="21">
        <v>0.825335342902436</v>
      </c>
      <c r="D124" s="22">
        <v>-0.0582693226336788</v>
      </c>
    </row>
    <row r="125" ht="15.75" customHeight="1">
      <c r="A125" s="8">
        <v>8.9</v>
      </c>
      <c r="B125" s="21">
        <v>-0.542017327096809</v>
      </c>
      <c r="C125" s="21">
        <v>0.830293441428875</v>
      </c>
      <c r="D125" s="22">
        <v>-0.0609009219457757</v>
      </c>
    </row>
    <row r="126" ht="15.75" customHeight="1">
      <c r="A126" s="8">
        <v>9.0</v>
      </c>
      <c r="B126" s="21">
        <v>-0.571931293320477</v>
      </c>
      <c r="C126" s="21">
        <v>0.835141859597998</v>
      </c>
      <c r="D126" s="22">
        <v>-0.0635486847377138</v>
      </c>
    </row>
    <row r="127" ht="15.75" customHeight="1">
      <c r="A127" s="8">
        <v>9.1</v>
      </c>
      <c r="B127" s="21">
        <v>-0.602552051478477</v>
      </c>
      <c r="C127" s="21">
        <v>0.839902400155127</v>
      </c>
      <c r="D127" s="22">
        <v>-0.0662140830161358</v>
      </c>
    </row>
    <row r="128" ht="15.75" customHeight="1">
      <c r="A128" s="8">
        <v>9.2</v>
      </c>
      <c r="B128" s="21">
        <v>-0.633847438273319</v>
      </c>
      <c r="C128" s="21">
        <v>0.844697389834137</v>
      </c>
      <c r="D128" s="22">
        <v>-0.0688962957469046</v>
      </c>
    </row>
    <row r="129" ht="15.75" customHeight="1">
      <c r="A129" s="8">
        <v>9.3</v>
      </c>
      <c r="B129" s="21">
        <v>-0.665832134285545</v>
      </c>
      <c r="C129" s="21">
        <v>0.849334897813119</v>
      </c>
      <c r="D129" s="22">
        <v>-0.071595878727922</v>
      </c>
    </row>
    <row r="130" ht="15.75" customHeight="1">
      <c r="A130" s="8">
        <v>9.4</v>
      </c>
      <c r="B130" s="21">
        <v>-0.698521563519639</v>
      </c>
      <c r="C130" s="21">
        <v>0.853846092345202</v>
      </c>
      <c r="D130" s="22">
        <v>-0.074312326539832</v>
      </c>
    </row>
    <row r="131" ht="15.75" customHeight="1">
      <c r="A131" s="8">
        <v>9.5</v>
      </c>
      <c r="B131" s="21">
        <v>-0.731912605228932</v>
      </c>
      <c r="C131" s="21">
        <v>0.858357286877285</v>
      </c>
      <c r="D131" s="22">
        <v>-0.077045358560519</v>
      </c>
    </row>
    <row r="132" ht="15.75" customHeight="1">
      <c r="A132" s="8">
        <v>9.6</v>
      </c>
      <c r="B132" s="21">
        <v>-0.76605344308845</v>
      </c>
      <c r="C132" s="21">
        <v>0.862868481409369</v>
      </c>
      <c r="D132" s="22">
        <v>-0.0797956337958246</v>
      </c>
    </row>
    <row r="133" ht="15.75" customHeight="1">
      <c r="A133" s="8">
        <v>9.7</v>
      </c>
      <c r="B133" s="21">
        <v>-0.800882617995576</v>
      </c>
      <c r="C133" s="21">
        <v>0.867343586385195</v>
      </c>
      <c r="D133" s="22">
        <v>-0.0825623102432437</v>
      </c>
    </row>
    <row r="134" ht="15.75" customHeight="1">
      <c r="A134" s="8">
        <v>9.8</v>
      </c>
      <c r="B134" s="21">
        <v>-0.836384616081395</v>
      </c>
      <c r="C134" s="21">
        <v>0.871480761879709</v>
      </c>
      <c r="D134" s="22">
        <v>-0.0853457837147562</v>
      </c>
    </row>
    <row r="135" ht="15.75" customHeight="1">
      <c r="A135" s="8">
        <v>9.9</v>
      </c>
      <c r="B135" s="21">
        <v>-0.872671465615767</v>
      </c>
      <c r="C135" s="21">
        <v>0.87588085129474</v>
      </c>
      <c r="D135" s="22">
        <v>-0.0881488391908326</v>
      </c>
    </row>
    <row r="136" ht="15.75" customHeight="1">
      <c r="A136" s="8">
        <v>10.0</v>
      </c>
      <c r="B136" s="21">
        <v>-0.909626171276539</v>
      </c>
      <c r="C136" s="21">
        <v>0.88009304235005</v>
      </c>
      <c r="D136" s="22">
        <v>-0.0909642510264341</v>
      </c>
    </row>
    <row r="137" ht="15.75" customHeight="1">
      <c r="A137" s="8">
        <v>10.1</v>
      </c>
      <c r="B137" s="21">
        <v>-0.947271199171938</v>
      </c>
      <c r="C137" s="21">
        <v>0.884194128288307</v>
      </c>
      <c r="D137" s="22">
        <v>-0.0937963422454167</v>
      </c>
    </row>
    <row r="138" ht="15.75" customHeight="1">
      <c r="A138" s="8">
        <v>10.2</v>
      </c>
      <c r="B138" s="21">
        <v>-0.985673449287519</v>
      </c>
      <c r="C138" s="21">
        <v>0.888295214226565</v>
      </c>
      <c r="D138" s="22">
        <v>-0.0966383308062602</v>
      </c>
    </row>
    <row r="139" ht="15.75" customHeight="1">
      <c r="A139" s="8">
        <v>10.3</v>
      </c>
      <c r="B139" s="21">
        <v>-1.02492836582053</v>
      </c>
      <c r="C139" s="21">
        <v>0.892396300164822</v>
      </c>
      <c r="D139" s="22">
        <v>-0.0995081800644705</v>
      </c>
    </row>
    <row r="140" ht="15.75" customHeight="1">
      <c r="A140" s="8">
        <v>10.4</v>
      </c>
      <c r="B140" s="21">
        <v>-1.06479364975135</v>
      </c>
      <c r="C140" s="21">
        <v>0.89649738610308</v>
      </c>
      <c r="D140" s="22">
        <v>-0.102378142334013</v>
      </c>
    </row>
    <row r="141" ht="15.75" customHeight="1">
      <c r="A141" s="8">
        <v>10.5</v>
      </c>
      <c r="B141" s="21">
        <v>-1.10544976520027</v>
      </c>
      <c r="C141" s="21">
        <v>0.900349126016291</v>
      </c>
      <c r="D141" s="22">
        <v>-0.105274534277907</v>
      </c>
    </row>
    <row r="142" ht="15.75" customHeight="1">
      <c r="A142" s="8">
        <v>10.6</v>
      </c>
      <c r="B142" s="21">
        <v>-1.14681313007517</v>
      </c>
      <c r="C142" s="21">
        <v>0.904289449385769</v>
      </c>
      <c r="D142" s="22">
        <v>-0.108184522982817</v>
      </c>
    </row>
    <row r="143" ht="15.75" customHeight="1">
      <c r="A143" s="8">
        <v>10.7</v>
      </c>
      <c r="B143" s="21">
        <v>-1.18898068359069</v>
      </c>
      <c r="C143" s="21">
        <v>0.908219930148995</v>
      </c>
      <c r="D143" s="22">
        <v>-0.111114480653986</v>
      </c>
    </row>
    <row r="144" ht="15.75" customHeight="1">
      <c r="A144" s="8">
        <v>10.8</v>
      </c>
      <c r="B144" s="21">
        <v>-1.2318207988611</v>
      </c>
      <c r="C144" s="21">
        <v>0.912081512668458</v>
      </c>
      <c r="D144" s="22">
        <v>-0.114059069888731</v>
      </c>
    </row>
    <row r="145" ht="15.75" customHeight="1">
      <c r="A145" s="8">
        <v>10.9</v>
      </c>
      <c r="B145" s="21">
        <v>-1.27547668711448</v>
      </c>
      <c r="C145" s="21">
        <v>0.915793815659769</v>
      </c>
      <c r="D145" s="22">
        <v>-0.117019019133592</v>
      </c>
    </row>
    <row r="146" ht="15.75" customHeight="1">
      <c r="A146" s="8">
        <v>11.0</v>
      </c>
      <c r="B146" s="21">
        <v>-1.31985043696643</v>
      </c>
      <c r="C146" s="21">
        <v>0.919684925997987</v>
      </c>
      <c r="D146" s="22">
        <v>-0.119985471295598</v>
      </c>
    </row>
    <row r="147" ht="15.75" customHeight="1">
      <c r="A147" s="8">
        <v>11.1</v>
      </c>
      <c r="B147" s="21">
        <v>-1.36506285889275</v>
      </c>
      <c r="C147" s="21">
        <v>0.923526823304947</v>
      </c>
      <c r="D147" s="22">
        <v>-0.122974137673104</v>
      </c>
    </row>
    <row r="148" ht="15.75" customHeight="1">
      <c r="A148" s="8">
        <v>11.2</v>
      </c>
      <c r="B148" s="21">
        <v>-1.41102783008874</v>
      </c>
      <c r="C148" s="21">
        <v>0.927255530640011</v>
      </c>
      <c r="D148" s="22">
        <v>-0.125985701780431</v>
      </c>
    </row>
    <row r="149" ht="15.75" customHeight="1">
      <c r="A149" s="8">
        <v>11.3</v>
      </c>
      <c r="B149" s="21">
        <v>-1.45773099675361</v>
      </c>
      <c r="C149" s="21">
        <v>0.930946507984442</v>
      </c>
      <c r="D149" s="22">
        <v>-0.129007860359765</v>
      </c>
    </row>
    <row r="150" ht="15.75" customHeight="1">
      <c r="A150" s="8">
        <v>11.4</v>
      </c>
      <c r="B150" s="21">
        <v>-1.50531589689521</v>
      </c>
      <c r="C150" s="21">
        <v>0.934612878813245</v>
      </c>
      <c r="D150" s="22">
        <v>-0.132040955168268</v>
      </c>
    </row>
    <row r="151" ht="15.75" customHeight="1">
      <c r="A151" s="8">
        <v>11.5</v>
      </c>
      <c r="B151" s="21">
        <v>-1.55357631614849</v>
      </c>
      <c r="C151" s="21">
        <v>0.93818304568187</v>
      </c>
      <c r="D151" s="22">
        <v>-0.135092453123365</v>
      </c>
    </row>
    <row r="152" ht="15.75" customHeight="1">
      <c r="A152" s="8">
        <v>11.6</v>
      </c>
      <c r="B152" s="21">
        <v>-1.60272399145638</v>
      </c>
      <c r="C152" s="21">
        <v>0.941687758565361</v>
      </c>
      <c r="D152" s="22">
        <v>-0.138161459665474</v>
      </c>
    </row>
    <row r="153" ht="15.75" customHeight="1">
      <c r="A153" s="8">
        <v>11.7</v>
      </c>
      <c r="B153" s="21">
        <v>-1.65259819619585</v>
      </c>
      <c r="C153" s="21">
        <v>0.945300308768344</v>
      </c>
      <c r="D153" s="22">
        <v>-0.141243450256556</v>
      </c>
    </row>
    <row r="154" ht="15.75" customHeight="1">
      <c r="A154" s="8">
        <v>11.8</v>
      </c>
      <c r="B154" s="21">
        <v>-1.70326301187709</v>
      </c>
      <c r="C154" s="21">
        <v>0.948991286112775</v>
      </c>
      <c r="D154" s="22">
        <v>-0.144348314068978</v>
      </c>
    </row>
    <row r="155" ht="15.75" customHeight="1">
      <c r="A155" s="8">
        <v>11.9</v>
      </c>
      <c r="B155" s="21">
        <v>-1.75478700506238</v>
      </c>
      <c r="C155" s="21">
        <v>0.95250673697905</v>
      </c>
      <c r="D155" s="22">
        <v>-0.147463088839085</v>
      </c>
    </row>
    <row r="156" ht="15.75" customHeight="1">
      <c r="A156" s="8">
        <v>12.0</v>
      </c>
      <c r="B156" s="21">
        <v>-1.80709409325505</v>
      </c>
      <c r="C156" s="21">
        <v>0.955963132207813</v>
      </c>
      <c r="D156" s="22">
        <v>-0.150594748591502</v>
      </c>
    </row>
    <row r="157" ht="15.75" customHeight="1">
      <c r="A157" s="8">
        <v>12.1</v>
      </c>
      <c r="B157" s="21">
        <v>-1.86025053105061</v>
      </c>
      <c r="C157" s="21">
        <v>0.959650828683494</v>
      </c>
      <c r="D157" s="22">
        <v>-0.153733307481519</v>
      </c>
    </row>
    <row r="158" ht="15.75" customHeight="1">
      <c r="A158" s="8">
        <v>12.2</v>
      </c>
      <c r="B158" s="21">
        <v>-1.91418594642862</v>
      </c>
      <c r="C158" s="21">
        <v>0.962934978302851</v>
      </c>
      <c r="D158" s="22">
        <v>-0.15689547076258</v>
      </c>
    </row>
    <row r="159" ht="15.75" customHeight="1">
      <c r="A159" s="8">
        <v>12.3</v>
      </c>
      <c r="B159" s="21">
        <v>-1.96898078439551</v>
      </c>
      <c r="C159" s="21">
        <v>0.966625955647282</v>
      </c>
      <c r="D159" s="22">
        <v>-0.16008395615299</v>
      </c>
    </row>
    <row r="160" ht="15.75" customHeight="1">
      <c r="A160" s="8">
        <v>12.4</v>
      </c>
      <c r="B160" s="21">
        <v>-2.02454763953603</v>
      </c>
      <c r="C160" s="21">
        <v>0.969906824397888</v>
      </c>
      <c r="D160" s="22">
        <v>-0.163273462730137</v>
      </c>
    </row>
    <row r="161" ht="15.75" customHeight="1">
      <c r="A161" s="8">
        <v>12.5</v>
      </c>
      <c r="B161" s="21">
        <v>-2.08100173439217</v>
      </c>
      <c r="C161" s="21">
        <v>0.973410792223535</v>
      </c>
      <c r="D161" s="22">
        <v>-0.166485634206531</v>
      </c>
    </row>
    <row r="162" ht="15.75" customHeight="1">
      <c r="A162" s="8">
        <v>12.6</v>
      </c>
      <c r="B162" s="21">
        <v>-2.13830784210622</v>
      </c>
      <c r="C162" s="21">
        <v>0.976878670492926</v>
      </c>
      <c r="D162" s="22">
        <v>-0.169704216012471</v>
      </c>
    </row>
    <row r="163" ht="15.75" customHeight="1">
      <c r="A163" s="8">
        <v>12.7</v>
      </c>
      <c r="B163" s="21">
        <v>-2.19653342635882</v>
      </c>
      <c r="C163" s="21">
        <v>0.980159539243532</v>
      </c>
      <c r="D163" s="22">
        <v>-0.172946895102255</v>
      </c>
    </row>
    <row r="164" ht="15.75" customHeight="1">
      <c r="A164" s="8">
        <v>12.8</v>
      </c>
      <c r="B164" s="21">
        <v>-2.25552782534344</v>
      </c>
      <c r="C164" s="21">
        <v>0.983440407994138</v>
      </c>
      <c r="D164" s="22">
        <v>-0.176205431179701</v>
      </c>
    </row>
    <row r="165" ht="15.75" customHeight="1">
      <c r="A165" s="8">
        <v>12.9</v>
      </c>
      <c r="B165" s="21">
        <v>-2.31542595825187</v>
      </c>
      <c r="C165" s="21">
        <v>0.986721276744744</v>
      </c>
      <c r="D165" s="22">
        <v>-0.179490861231068</v>
      </c>
    </row>
    <row r="166" ht="15.75" customHeight="1">
      <c r="A166" s="8">
        <v>13.0</v>
      </c>
      <c r="B166" s="21">
        <v>-2.37609537307948</v>
      </c>
      <c r="C166" s="21">
        <v>0.990041515920357</v>
      </c>
      <c r="D166" s="22">
        <v>-0.182772413495997</v>
      </c>
    </row>
    <row r="167" ht="15.75" customHeight="1">
      <c r="A167" s="8">
        <v>13.1</v>
      </c>
      <c r="B167" s="21">
        <v>-2.43767894610511</v>
      </c>
      <c r="C167" s="21">
        <v>0.993379414273987</v>
      </c>
      <c r="D167" s="22">
        <v>-0.186085412866115</v>
      </c>
    </row>
    <row r="168" ht="15.75" customHeight="1">
      <c r="A168" s="8">
        <v>13.2</v>
      </c>
      <c r="B168" s="21">
        <v>-2.50016944732666</v>
      </c>
      <c r="C168" s="21">
        <v>0.996617801656308</v>
      </c>
      <c r="D168" s="22">
        <v>-0.189410396883786</v>
      </c>
    </row>
    <row r="169" ht="15.75" customHeight="1">
      <c r="A169" s="8">
        <v>13.3</v>
      </c>
      <c r="B169" s="21">
        <v>-2.56357241566098</v>
      </c>
      <c r="C169" s="21">
        <v>0.999844751747168</v>
      </c>
      <c r="D169" s="22">
        <v>-0.192747963283647</v>
      </c>
    </row>
    <row r="170" ht="15.75" customHeight="1">
      <c r="A170" s="8">
        <v>13.4</v>
      </c>
      <c r="B170" s="21">
        <v>-2.62776261276659</v>
      </c>
      <c r="C170" s="21">
        <v>1.00312562049777</v>
      </c>
      <c r="D170" s="22">
        <v>-0.196098208738042</v>
      </c>
    </row>
    <row r="171" ht="15.75" customHeight="1">
      <c r="A171" s="8">
        <v>13.5</v>
      </c>
      <c r="B171" s="21">
        <v>-2.69288375638018</v>
      </c>
      <c r="C171" s="21">
        <v>1.00640648924838</v>
      </c>
      <c r="D171" s="22">
        <v>-0.199476478279681</v>
      </c>
    </row>
    <row r="172" ht="15.75" customHeight="1">
      <c r="A172" s="8">
        <v>13.6</v>
      </c>
      <c r="B172" s="21">
        <v>-2.75891978527674</v>
      </c>
      <c r="C172" s="21">
        <v>1.00954847660267</v>
      </c>
      <c r="D172" s="22">
        <v>-0.202856362657948</v>
      </c>
    </row>
    <row r="173" ht="15.75" customHeight="1">
      <c r="A173" s="8">
        <v>13.7</v>
      </c>
      <c r="B173" s="21">
        <v>-2.82575689023675</v>
      </c>
      <c r="C173" s="21">
        <v>1.01261881422765</v>
      </c>
      <c r="D173" s="22">
        <v>-0.20626001617872</v>
      </c>
    </row>
    <row r="174" ht="15.75" customHeight="1">
      <c r="A174" s="8">
        <v>13.8</v>
      </c>
      <c r="B174" s="21">
        <v>-2.89360525599928</v>
      </c>
      <c r="C174" s="21">
        <v>1.015837346472</v>
      </c>
      <c r="D174" s="22">
        <v>-0.20967861306542</v>
      </c>
    </row>
    <row r="175" ht="15.75" customHeight="1">
      <c r="A175" s="8">
        <v>13.9</v>
      </c>
      <c r="B175" s="21">
        <v>-2.96232305198072</v>
      </c>
      <c r="C175" s="21">
        <v>1.01883113920692</v>
      </c>
      <c r="D175" s="22">
        <v>-0.213111905510064</v>
      </c>
    </row>
    <row r="176" ht="15.75" customHeight="1">
      <c r="A176" s="8">
        <v>14.0</v>
      </c>
      <c r="B176" s="21">
        <v>-3.03191567821655</v>
      </c>
      <c r="C176" s="21">
        <v>1.02199061581376</v>
      </c>
      <c r="D176" s="22">
        <v>-0.216570560148524</v>
      </c>
    </row>
    <row r="177" ht="15.75" customHeight="1">
      <c r="A177" s="8">
        <v>14.1</v>
      </c>
      <c r="B177" s="21">
        <v>-3.10246334279786</v>
      </c>
      <c r="C177" s="21">
        <v>1.02491692852906</v>
      </c>
      <c r="D177" s="22">
        <v>-0.220027277255347</v>
      </c>
    </row>
    <row r="178" ht="15.75" customHeight="1">
      <c r="A178" s="8">
        <v>14.2</v>
      </c>
      <c r="B178" s="21">
        <v>-3.17389192390652</v>
      </c>
      <c r="C178" s="21">
        <v>1.02798312258674</v>
      </c>
      <c r="D178" s="22">
        <v>-0.223512601206647</v>
      </c>
    </row>
    <row r="179" ht="15.75" customHeight="1">
      <c r="A179" s="8">
        <v>14.3</v>
      </c>
      <c r="B179" s="21">
        <v>-3.24626173691598</v>
      </c>
      <c r="C179" s="21">
        <v>1.03101300487792</v>
      </c>
      <c r="D179" s="22">
        <v>-0.227011511026303</v>
      </c>
    </row>
    <row r="180" ht="15.75" customHeight="1">
      <c r="A180" s="8">
        <v>14.4</v>
      </c>
      <c r="B180" s="21">
        <v>-3.31953994046076</v>
      </c>
      <c r="C180" s="21">
        <v>1.0338837650347</v>
      </c>
      <c r="D180" s="22">
        <v>-0.230521015317967</v>
      </c>
    </row>
    <row r="181" ht="15.75" customHeight="1">
      <c r="A181" s="8">
        <v>14.5</v>
      </c>
      <c r="B181" s="21">
        <v>-3.39372213935315</v>
      </c>
      <c r="C181" s="21">
        <v>1.0368770676</v>
      </c>
      <c r="D181" s="22">
        <v>-0.23404646918489</v>
      </c>
    </row>
    <row r="182" ht="15.75" customHeight="1">
      <c r="A182" s="8">
        <v>14.6</v>
      </c>
      <c r="B182" s="21">
        <v>-3.46886922900069</v>
      </c>
      <c r="C182" s="21">
        <v>1.03983115659457</v>
      </c>
      <c r="D182" s="22">
        <v>-0.237596795075994</v>
      </c>
    </row>
    <row r="183" ht="15.75" customHeight="1">
      <c r="A183" s="8">
        <v>14.7</v>
      </c>
      <c r="B183" s="21">
        <v>-3.54490679348342</v>
      </c>
      <c r="C183" s="21">
        <v>1.04279341508304</v>
      </c>
      <c r="D183" s="22">
        <v>-0.241152226900787</v>
      </c>
    </row>
    <row r="184" ht="15.75" customHeight="1">
      <c r="A184" s="8">
        <v>14.8</v>
      </c>
      <c r="B184" s="21">
        <v>-3.62190223112603</v>
      </c>
      <c r="C184" s="21">
        <v>1.04577364645809</v>
      </c>
      <c r="D184" s="22">
        <v>-0.244718551384114</v>
      </c>
    </row>
    <row r="185" ht="15.75" customHeight="1">
      <c r="A185" s="8">
        <v>14.9</v>
      </c>
      <c r="B185" s="21">
        <v>-3.69982748788647</v>
      </c>
      <c r="C185" s="21">
        <v>1.04864767441243</v>
      </c>
      <c r="D185" s="22">
        <v>-0.248305716246382</v>
      </c>
    </row>
    <row r="186" ht="15.75" customHeight="1">
      <c r="A186" s="13">
        <v>15.0</v>
      </c>
      <c r="B186" s="32">
        <v>-3.77867086504947</v>
      </c>
      <c r="C186" s="32">
        <v>1.05151843456921</v>
      </c>
      <c r="D186" s="38">
        <v>-0.251909203757464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44:E44"/>
    <mergeCell ref="R44:T44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2023-05-26T00:55:17Z</dcterms:created>
  <dc:creator>Lara Tulloch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0x010100D4E989F468EFCB418D2A6D682E733ED3</vt:lpwstr>
  </property>
  <property fmtid="{D5CDD505-2E9C-101B-9397-08002B2CF9AE}" pid="3" name="MediaServiceImageTags">
    <vt:lpwstr/>
  </property>
</Properties>
</file>